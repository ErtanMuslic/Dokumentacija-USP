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C484CDA8-FF09-408E-A5DE-D3DA94E4ABE2}"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23256" windowHeight="1245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Stay'!$A$1:$S$24</definedName>
    <definedName name="_xlnm.Print_Area" localSheetId="2">'1. Staff costs'!$A$1:$U$35</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Stay'!$24:$1048576,' 2-3-6. Travel&amp;Costs of Stay'!#REF!</definedName>
    <definedName name="Z_D7932BCF_3472_4742_BE90_75070A4D3346_.wvu.Rows" localSheetId="2" hidden="1">'1. Staff costs'!$35:$1048576,'1.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34" i="40" l="1"/>
  <c r="D34" i="40"/>
  <c r="T34" i="40" s="1"/>
  <c r="D16" i="71"/>
  <c r="C16" i="71"/>
  <c r="J16" i="71" s="1"/>
  <c r="I16" i="71" s="1"/>
  <c r="D15" i="71"/>
  <c r="C15" i="71"/>
  <c r="J15" i="71" s="1"/>
  <c r="I15" i="71" s="1"/>
  <c r="E17" i="70"/>
  <c r="D17" i="70"/>
  <c r="I17" i="70" s="1"/>
  <c r="H17" i="70" s="1"/>
  <c r="E16" i="70"/>
  <c r="D16" i="70"/>
  <c r="I16" i="70" s="1"/>
  <c r="H16" i="70" s="1"/>
  <c r="E15" i="70"/>
  <c r="D15" i="70"/>
  <c r="I15" i="70" s="1"/>
  <c r="H15" i="70" s="1"/>
  <c r="E16" i="26"/>
  <c r="D16" i="26"/>
  <c r="I16" i="26" s="1"/>
  <c r="H16" i="26" s="1"/>
  <c r="E15" i="26"/>
  <c r="D15" i="26"/>
  <c r="E33" i="40"/>
  <c r="D33" i="40"/>
  <c r="E32" i="40"/>
  <c r="D32" i="40"/>
  <c r="T32" i="40" s="1"/>
  <c r="E31" i="40"/>
  <c r="D31" i="40"/>
  <c r="T31" i="40" s="1"/>
  <c r="E30" i="40"/>
  <c r="D30" i="40"/>
  <c r="E29" i="40"/>
  <c r="D29" i="40"/>
  <c r="T29" i="40" s="1"/>
  <c r="E28" i="40"/>
  <c r="D28" i="40"/>
  <c r="T28" i="40" s="1"/>
  <c r="E27" i="40"/>
  <c r="D27" i="40"/>
  <c r="E26" i="40"/>
  <c r="D26" i="40"/>
  <c r="T26" i="40" s="1"/>
  <c r="E25" i="40"/>
  <c r="D25" i="40"/>
  <c r="T25" i="40" s="1"/>
  <c r="E24" i="40"/>
  <c r="D24" i="40"/>
  <c r="E23" i="40"/>
  <c r="D23" i="40"/>
  <c r="T23" i="40" s="1"/>
  <c r="E22" i="40"/>
  <c r="D22" i="40"/>
  <c r="T22" i="40" s="1"/>
  <c r="E21" i="40"/>
  <c r="D21" i="40"/>
  <c r="E20" i="40"/>
  <c r="D20" i="40"/>
  <c r="T20" i="40" s="1"/>
  <c r="E19" i="40"/>
  <c r="D19" i="40"/>
  <c r="T19" i="40" s="1"/>
  <c r="E18" i="40"/>
  <c r="D18" i="40"/>
  <c r="E17" i="40"/>
  <c r="D17" i="40"/>
  <c r="T17" i="40" s="1"/>
  <c r="E16" i="40"/>
  <c r="D16" i="40"/>
  <c r="E15" i="40"/>
  <c r="D15" i="40"/>
  <c r="N23" i="39"/>
  <c r="E23" i="39"/>
  <c r="D23" i="39"/>
  <c r="R23" i="39" s="1"/>
  <c r="P23" i="39" s="1"/>
  <c r="N22" i="39"/>
  <c r="E22" i="39"/>
  <c r="D22" i="39"/>
  <c r="R22" i="39" s="1"/>
  <c r="P22" i="39" s="1"/>
  <c r="N21" i="39"/>
  <c r="E21" i="39"/>
  <c r="D21" i="39"/>
  <c r="R21" i="39" s="1"/>
  <c r="P21" i="39" s="1"/>
  <c r="N20" i="39"/>
  <c r="E20" i="39"/>
  <c r="D20" i="39"/>
  <c r="R20" i="39" s="1"/>
  <c r="P20" i="39" s="1"/>
  <c r="N19" i="39"/>
  <c r="E19" i="39"/>
  <c r="D19" i="39"/>
  <c r="R19" i="39" s="1"/>
  <c r="P19" i="39" s="1"/>
  <c r="N18" i="39"/>
  <c r="E18" i="39"/>
  <c r="D18" i="39"/>
  <c r="R18" i="39" s="1"/>
  <c r="P18" i="39" s="1"/>
  <c r="N17" i="39"/>
  <c r="E17" i="39"/>
  <c r="D17" i="39"/>
  <c r="R17" i="39" s="1"/>
  <c r="P17" i="39" s="1"/>
  <c r="N16" i="39"/>
  <c r="E16" i="39"/>
  <c r="D16" i="39"/>
  <c r="R16" i="39" s="1"/>
  <c r="P16" i="39" s="1"/>
  <c r="N15" i="39"/>
  <c r="E15" i="39"/>
  <c r="D15" i="39"/>
  <c r="R15" i="39" s="1"/>
  <c r="P15" i="39" s="1"/>
  <c r="N13" i="39"/>
  <c r="N14" i="39"/>
  <c r="T27" i="40" l="1"/>
  <c r="R27" i="40" s="1"/>
  <c r="T33" i="40"/>
  <c r="R34" i="40"/>
  <c r="T30" i="40"/>
  <c r="R30" i="40" s="1"/>
  <c r="I15" i="26"/>
  <c r="H15" i="26" s="1"/>
  <c r="R33" i="40"/>
  <c r="R32" i="40"/>
  <c r="R31" i="40"/>
  <c r="T18" i="40"/>
  <c r="R18" i="40" s="1"/>
  <c r="T24" i="40"/>
  <c r="R24" i="40" s="1"/>
  <c r="R29" i="40"/>
  <c r="R28" i="40"/>
  <c r="T15" i="40"/>
  <c r="R15" i="40" s="1"/>
  <c r="T21" i="40"/>
  <c r="R21" i="40" s="1"/>
  <c r="R26" i="40"/>
  <c r="R25" i="40"/>
  <c r="R23" i="40"/>
  <c r="R22" i="40"/>
  <c r="T16" i="40"/>
  <c r="R16" i="40" s="1"/>
  <c r="R20" i="40"/>
  <c r="R19" i="40"/>
  <c r="R17" i="40"/>
  <c r="O23" i="39"/>
  <c r="Q23" i="39" s="1"/>
  <c r="O22" i="39"/>
  <c r="Q22" i="39" s="1"/>
  <c r="O21" i="39"/>
  <c r="Q21" i="39" s="1"/>
  <c r="O20" i="39"/>
  <c r="Q20" i="39" s="1"/>
  <c r="O19" i="39"/>
  <c r="Q19" i="39" s="1"/>
  <c r="O18" i="39"/>
  <c r="Q18" i="39" s="1"/>
  <c r="O17" i="39"/>
  <c r="Q17" i="39" s="1"/>
  <c r="O16" i="39"/>
  <c r="Q16" i="39" s="1"/>
  <c r="O15" i="39"/>
  <c r="Q15" i="39" s="1"/>
  <c r="L32" i="41"/>
  <c r="L33" i="41"/>
  <c r="L34" i="41"/>
  <c r="L35" i="4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P34" i="40" s="1"/>
  <c r="Q34" i="40" s="1"/>
  <c r="L11" i="40"/>
  <c r="M34" i="40" s="1"/>
  <c r="N34" i="40" s="1"/>
  <c r="I11" i="40"/>
  <c r="J34" i="40" s="1"/>
  <c r="K34" i="40" s="1"/>
  <c r="F11" i="40"/>
  <c r="G34" i="40" s="1"/>
  <c r="H34" i="40" s="1"/>
  <c r="S34" i="40" s="1"/>
  <c r="G29" i="40" l="1"/>
  <c r="H29" i="40" s="1"/>
  <c r="G31" i="40"/>
  <c r="H31" i="40" s="1"/>
  <c r="G32" i="40"/>
  <c r="H32" i="40" s="1"/>
  <c r="G30" i="40"/>
  <c r="H30" i="40" s="1"/>
  <c r="G33" i="40"/>
  <c r="H33" i="40" s="1"/>
  <c r="J31" i="40"/>
  <c r="K31" i="40" s="1"/>
  <c r="J33" i="40"/>
  <c r="K33" i="40" s="1"/>
  <c r="J29" i="40"/>
  <c r="K29" i="40" s="1"/>
  <c r="J32" i="40"/>
  <c r="K32" i="40" s="1"/>
  <c r="J30" i="40"/>
  <c r="K30" i="40" s="1"/>
  <c r="M33" i="40"/>
  <c r="N33" i="40" s="1"/>
  <c r="M31" i="40"/>
  <c r="N31" i="40" s="1"/>
  <c r="M29" i="40"/>
  <c r="N29" i="40" s="1"/>
  <c r="M30" i="40"/>
  <c r="N30" i="40" s="1"/>
  <c r="M32" i="40"/>
  <c r="N32" i="40" s="1"/>
  <c r="P33" i="40"/>
  <c r="Q33" i="40" s="1"/>
  <c r="P31" i="40"/>
  <c r="Q31" i="40" s="1"/>
  <c r="P29" i="40"/>
  <c r="Q29" i="40" s="1"/>
  <c r="P32" i="40"/>
  <c r="Q32" i="40" s="1"/>
  <c r="P30" i="40"/>
  <c r="Q30" i="40" s="1"/>
  <c r="G28" i="40"/>
  <c r="H28" i="40" s="1"/>
  <c r="G24" i="40"/>
  <c r="H24" i="40" s="1"/>
  <c r="G26" i="40"/>
  <c r="H26" i="40" s="1"/>
  <c r="G27" i="40"/>
  <c r="H27" i="40" s="1"/>
  <c r="G25" i="40"/>
  <c r="H25" i="40" s="1"/>
  <c r="J25" i="40"/>
  <c r="K25" i="40" s="1"/>
  <c r="J28" i="40"/>
  <c r="K28" i="40" s="1"/>
  <c r="J24" i="40"/>
  <c r="K24" i="40" s="1"/>
  <c r="J26" i="40"/>
  <c r="K26" i="40" s="1"/>
  <c r="J27" i="40"/>
  <c r="K27" i="40" s="1"/>
  <c r="M28" i="40"/>
  <c r="N28" i="40" s="1"/>
  <c r="M24" i="40"/>
  <c r="N24" i="40" s="1"/>
  <c r="M26" i="40"/>
  <c r="N26" i="40" s="1"/>
  <c r="M27" i="40"/>
  <c r="N27" i="40" s="1"/>
  <c r="M25" i="40"/>
  <c r="N25" i="40" s="1"/>
  <c r="P24" i="40"/>
  <c r="Q24" i="40" s="1"/>
  <c r="P26" i="40"/>
  <c r="Q26" i="40" s="1"/>
  <c r="P28" i="40"/>
  <c r="Q28" i="40" s="1"/>
  <c r="P27" i="40"/>
  <c r="Q27" i="40" s="1"/>
  <c r="P25" i="40"/>
  <c r="Q25" i="40" s="1"/>
  <c r="G19" i="40"/>
  <c r="H19" i="40" s="1"/>
  <c r="G21" i="40"/>
  <c r="H21" i="40" s="1"/>
  <c r="G23" i="40"/>
  <c r="H23" i="40" s="1"/>
  <c r="G22" i="40"/>
  <c r="H22" i="40" s="1"/>
  <c r="G20" i="40"/>
  <c r="H20" i="40" s="1"/>
  <c r="J19" i="40"/>
  <c r="K19" i="40" s="1"/>
  <c r="J21" i="40"/>
  <c r="K21" i="40" s="1"/>
  <c r="J23" i="40"/>
  <c r="K23" i="40" s="1"/>
  <c r="J22" i="40"/>
  <c r="K22" i="40" s="1"/>
  <c r="J20" i="40"/>
  <c r="K20" i="40" s="1"/>
  <c r="M23" i="40"/>
  <c r="N23" i="40" s="1"/>
  <c r="M21" i="40"/>
  <c r="N21" i="40" s="1"/>
  <c r="M20" i="40"/>
  <c r="N20" i="40" s="1"/>
  <c r="M22" i="40"/>
  <c r="N22" i="40" s="1"/>
  <c r="M19" i="40"/>
  <c r="N19" i="40" s="1"/>
  <c r="P23" i="40"/>
  <c r="Q23" i="40" s="1"/>
  <c r="P21" i="40"/>
  <c r="Q21" i="40" s="1"/>
  <c r="P20" i="40"/>
  <c r="Q20" i="40" s="1"/>
  <c r="P22" i="40"/>
  <c r="Q22" i="40" s="1"/>
  <c r="P19" i="40"/>
  <c r="Q19" i="40" s="1"/>
  <c r="J15" i="40"/>
  <c r="K15" i="40" s="1"/>
  <c r="J18" i="40"/>
  <c r="K18" i="40" s="1"/>
  <c r="J17" i="40"/>
  <c r="K17" i="40" s="1"/>
  <c r="J16" i="40"/>
  <c r="K16" i="40" s="1"/>
  <c r="G15" i="40"/>
  <c r="H15" i="40" s="1"/>
  <c r="G16" i="40"/>
  <c r="H16" i="40" s="1"/>
  <c r="G17" i="40"/>
  <c r="H17" i="40" s="1"/>
  <c r="G18" i="40"/>
  <c r="H18" i="40" s="1"/>
  <c r="M15" i="40"/>
  <c r="N15" i="40" s="1"/>
  <c r="M18" i="40"/>
  <c r="N18" i="40" s="1"/>
  <c r="M16" i="40"/>
  <c r="N16" i="40" s="1"/>
  <c r="M17" i="40"/>
  <c r="N17" i="40" s="1"/>
  <c r="P15" i="40"/>
  <c r="Q15" i="40" s="1"/>
  <c r="P16" i="40"/>
  <c r="Q16" i="40" s="1"/>
  <c r="P18" i="40"/>
  <c r="Q18" i="40" s="1"/>
  <c r="P17" i="40"/>
  <c r="Q17" i="40" s="1"/>
  <c r="G6" i="55"/>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S32" i="40" l="1"/>
  <c r="S30" i="40"/>
  <c r="S31" i="40"/>
  <c r="S33" i="40"/>
  <c r="S29" i="40"/>
  <c r="S25" i="40"/>
  <c r="S27" i="40"/>
  <c r="S26" i="40"/>
  <c r="S24" i="40"/>
  <c r="S28" i="40"/>
  <c r="S15" i="40"/>
  <c r="S20" i="40"/>
  <c r="S22" i="40"/>
  <c r="S23" i="40"/>
  <c r="S21" i="40"/>
  <c r="S19" i="40"/>
  <c r="S18" i="40"/>
  <c r="S17" i="40"/>
  <c r="S16" i="40"/>
  <c r="R13" i="39"/>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8" i="55"/>
  <c r="F40" i="41"/>
  <c r="F36" i="41"/>
  <c r="F39" i="41"/>
  <c r="F31" i="41"/>
  <c r="F30" i="41"/>
  <c r="F37" i="41"/>
  <c r="F34" i="41"/>
  <c r="F35" i="41"/>
  <c r="F32" i="41"/>
  <c r="F38" i="41"/>
  <c r="F33" i="41"/>
  <c r="H13" i="26"/>
  <c r="C4" i="26" s="1"/>
  <c r="B4" i="74"/>
  <c r="B6" i="74"/>
  <c r="H13" i="70"/>
  <c r="C4" i="70" s="1"/>
  <c r="J48" i="41" s="1"/>
  <c r="B5" i="74"/>
  <c r="B2" i="74"/>
  <c r="F5" i="55"/>
  <c r="F6" i="55"/>
  <c r="E7" i="40"/>
  <c r="R13" i="40"/>
  <c r="E6" i="40"/>
  <c r="N13" i="40"/>
  <c r="D7" i="40" s="1"/>
  <c r="H13" i="40"/>
  <c r="M13" i="40"/>
  <c r="G13" i="40"/>
  <c r="E5" i="40"/>
  <c r="Q13" i="40"/>
  <c r="J13" i="40"/>
  <c r="E8" i="40"/>
  <c r="K13" i="40"/>
  <c r="P13" i="40"/>
  <c r="S13" i="40"/>
  <c r="C7" i="55" s="1"/>
  <c r="D6" i="40" l="1"/>
  <c r="S14" i="40"/>
  <c r="C9" i="55" s="1"/>
  <c r="C6" i="55"/>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D6" i="55"/>
  <c r="D7" i="55"/>
  <c r="I7" i="55" s="1"/>
  <c r="E6" i="55"/>
  <c r="D8" i="55"/>
  <c r="E8" i="55"/>
  <c r="H29" i="41"/>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l="1"/>
  <c r="D17" i="41" s="1"/>
  <c r="L31" i="41"/>
  <c r="L30" i="41"/>
  <c r="L29" i="41"/>
  <c r="L28" i="41"/>
  <c r="I8" i="55"/>
  <c r="I6" i="55"/>
  <c r="H32" i="55"/>
  <c r="H28" i="55"/>
  <c r="H24" i="55"/>
  <c r="H31" i="55"/>
  <c r="H27" i="55"/>
  <c r="H23"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F77" i="55"/>
  <c r="C10" i="55"/>
  <c r="G17" i="55" l="1"/>
  <c r="C17" i="55"/>
  <c r="F17" i="55"/>
  <c r="K27" i="41"/>
  <c r="H15" i="55" s="1"/>
  <c r="H17" i="55" s="1"/>
  <c r="D10" i="39"/>
  <c r="D22" i="41" s="1"/>
  <c r="H5" i="55"/>
  <c r="H10" i="55" s="1"/>
  <c r="R14" i="39"/>
  <c r="I19" i="41" l="1"/>
  <c r="F4" i="39"/>
  <c r="O14" i="39"/>
  <c r="F6" i="39"/>
  <c r="B3" i="74"/>
  <c r="I18" i="41"/>
  <c r="P14" i="39"/>
  <c r="I22" i="41"/>
  <c r="D4" i="39" l="1"/>
  <c r="D9" i="55"/>
  <c r="G22" i="55"/>
  <c r="G77" i="55" s="1"/>
  <c r="D5" i="39"/>
  <c r="E4" i="39" s="1"/>
  <c r="E9" i="55"/>
  <c r="F8" i="39"/>
  <c r="D9" i="39"/>
  <c r="D19" i="41" s="1"/>
  <c r="E5" i="55"/>
  <c r="H27" i="41"/>
  <c r="D7" i="39"/>
  <c r="D5" i="55"/>
  <c r="C22" i="55"/>
  <c r="Q14" i="39"/>
  <c r="G27" i="41"/>
  <c r="D8" i="39"/>
  <c r="D6" i="39"/>
  <c r="E10" i="55" l="1"/>
  <c r="I9" i="55"/>
  <c r="E6" i="39"/>
  <c r="D15" i="55"/>
  <c r="D16" i="55"/>
  <c r="E15" i="55"/>
  <c r="E16" i="55"/>
  <c r="L27" i="41"/>
  <c r="H22" i="55"/>
  <c r="C77" i="55"/>
  <c r="H77" i="55" s="1"/>
  <c r="E8" i="39"/>
  <c r="D18" i="41"/>
  <c r="D23" i="41" s="1"/>
  <c r="I5" i="55"/>
  <c r="D10" i="55"/>
  <c r="I10" i="55" l="1"/>
  <c r="I16" i="55"/>
  <c r="I15" i="55"/>
  <c r="E17" i="55"/>
  <c r="D17" i="55"/>
  <c r="I17" i="55" l="1"/>
</calcChain>
</file>

<file path=xl/sharedStrings.xml><?xml version="1.0" encoding="utf-8"?>
<sst xmlns="http://schemas.openxmlformats.org/spreadsheetml/2006/main" count="812" uniqueCount="387">
  <si>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</si>
  <si>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</si>
  <si>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</si>
  <si>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</si>
  <si>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</si>
  <si>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</si>
  <si>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</si>
  <si>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</si>
  <si>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</si>
  <si>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</si>
  <si>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</si>
  <si>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</si>
  <si>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</si>
  <si>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</si>
  <si>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</si>
  <si>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</si>
  <si>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</si>
  <si>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</si>
  <si>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</si>
  <si>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</si>
  <si>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</si>
  <si>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</si>
  <si>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</si>
  <si>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</si>
  <si>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</si>
  <si>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</si>
  <si>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</si>
  <si>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</si>
  <si>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</si>
  <si>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</si>
  <si>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</si>
  <si>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</si>
  <si>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</si>
  <si>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</si>
  <si>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</si>
  <si>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</si>
  <si>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</si>
  <si>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</si>
  <si>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</si>
  <si>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</si>
  <si>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</si>
  <si>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</si>
  <si>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</si>
  <si>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</si>
  <si>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</si>
  <si>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</si>
  <si>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</si>
  <si>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</si>
  <si>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</si>
  <si>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</si>
  <si>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</si>
  <si>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</si>
  <si>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</si>
  <si>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</si>
  <si>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</si>
  <si>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</si>
  <si>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</si>
  <si>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</si>
  <si>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</si>
  <si>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</si>
  <si>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</si>
  <si>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</si>
  <si>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</si>
  <si>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</si>
  <si>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</si>
  <si>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</si>
  <si>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</si>
  <si>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</si>
  <si>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</si>
  <si>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</si>
  <si>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</si>
  <si>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</si>
  <si>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</si>
  <si>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</si>
  <si>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</si>
  <si>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</si>
  <si>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</si>
  <si>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</si>
  <si>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</si>
  <si>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</si>
  <si>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</si>
  <si>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</si>
  <si>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</si>
  <si>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</si>
  <si>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</si>
  <si>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</si>
  <si>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</si>
  <si>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</si>
  <si>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</si>
  <si>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</si>
  <si>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</si>
  <si>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</si>
  <si>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</si>
  <si>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</si>
  <si>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</si>
  <si>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</si>
  <si>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</si>
  <si>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</si>
  <si>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</si>
  <si>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</si>
  <si>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</si>
  <si>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</si>
  <si>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</si>
  <si>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</si>
  <si>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</si>
  <si>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</si>
  <si>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</si>
  <si>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</si>
  <si>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</si>
  <si>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</si>
  <si>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</si>
  <si>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</si>
  <si>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</si>
  <si>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</si>
  <si>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</si>
  <si>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</si>
  <si>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</si>
  <si>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</si>
  <si>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</si>
  <si>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</si>
  <si>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</si>
  <si>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</si>
  <si>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</si>
  <si>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</si>
  <si>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</si>
  <si>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</si>
  <si>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</si>
  <si>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</si>
  <si>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</si>
  <si>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</si>
  <si>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</si>
  <si>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</si>
  <si>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</si>
  <si>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</si>
  <si>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</si>
  <si>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</si>
  <si>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</si>
  <si>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</si>
  <si>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</si>
  <si>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</si>
  <si>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</si>
  <si>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</si>
  <si>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</si>
  <si>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</si>
  <si>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</si>
  <si>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</si>
  <si>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</si>
  <si>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</si>
  <si>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</si>
  <si>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</si>
  <si>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</si>
  <si>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</si>
  <si>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</si>
  <si>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</si>
  <si>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</si>
  <si>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</si>
  <si>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</si>
  <si>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</si>
  <si>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</si>
  <si>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</si>
  <si>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</si>
  <si>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</si>
  <si>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</si>
  <si>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</si>
  <si>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</si>
  <si>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</si>
  <si>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</si>
  <si>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</si>
  <si>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</si>
  <si>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</si>
  <si>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</si>
  <si>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</si>
  <si>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</si>
  <si>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</si>
  <si>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</si>
  <si>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</si>
  <si>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</si>
  <si>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</si>
  <si>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</si>
  <si>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</si>
  <si>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</si>
  <si>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</si>
  <si>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</si>
  <si>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</si>
  <si>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</si>
  <si>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</si>
  <si>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</si>
  <si>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</si>
  <si>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</si>
  <si>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</si>
  <si>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</si>
  <si>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</si>
  <si>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</si>
  <si>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</si>
  <si>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</si>
  <si>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</si>
  <si>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</si>
  <si>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</si>
  <si>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</si>
  <si>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</si>
  <si>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</si>
  <si>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</si>
  <si>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</si>
  <si>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</si>
  <si>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</si>
  <si>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</si>
  <si>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</si>
  <si>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</si>
  <si>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</si>
  <si>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</si>
  <si>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</si>
  <si>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</si>
  <si>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</si>
  <si>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</si>
  <si>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</si>
  <si>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</si>
  <si>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</si>
  <si>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</si>
  <si>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</si>
  <si>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</si>
  <si>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</si>
  <si>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</si>
  <si>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</si>
  <si>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</si>
  <si>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</si>
  <si>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</si>
  <si>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</si>
  <si>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</si>
  <si>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</si>
  <si>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</si>
  <si>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</si>
  <si>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</si>
  <si>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</si>
  <si>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</si>
  <si>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</si>
  <si>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</si>
  <si>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</si>
  <si>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</si>
  <si>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</si>
  <si>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</si>
  <si>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</si>
  <si>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</si>
  <si>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</si>
  <si>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</si>
  <si>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</si>
  <si>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</si>
  <si>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</si>
  <si>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</si>
  <si>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</si>
  <si>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</si>
  <si>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</si>
  <si>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</si>
  <si>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</si>
  <si>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</si>
  <si>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</si>
  <si>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</si>
  <si>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</si>
  <si>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</si>
  <si>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</si>
  <si>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</si>
  <si>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</si>
  <si>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</si>
  <si>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</si>
  <si>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</si>
  <si>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</si>
  <si>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</si>
  <si>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</si>
  <si>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</si>
  <si>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</si>
  <si>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</si>
  <si>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</si>
  <si>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</si>
  <si>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</si>
  <si>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</si>
  <si>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</si>
  <si>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</si>
  <si>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</si>
  <si>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</si>
  <si>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</si>
  <si>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</si>
  <si>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</si>
  <si>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</si>
  <si>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</si>
  <si>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</si>
  <si>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</si>
  <si>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</si>
  <si>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</si>
  <si>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</si>
  <si>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</si>
  <si>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</si>
  <si>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</si>
  <si>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</si>
  <si>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</si>
  <si>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</si>
  <si>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</si>
  <si>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</si>
  <si>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</si>
  <si>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</si>
  <si>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</si>
  <si>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</si>
  <si>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</si>
  <si>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</si>
  <si>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</si>
  <si>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</si>
  <si>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</si>
  <si>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</si>
  <si>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</si>
  <si>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</si>
  <si>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</si>
  <si>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</si>
  <si>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</si>
  <si>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</si>
  <si>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</si>
  <si>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</si>
  <si>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</si>
  <si>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</si>
  <si>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</si>
  <si>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</si>
  <si>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</si>
  <si>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</si>
  <si>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</si>
  <si>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</si>
  <si>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</si>
  <si>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</si>
  <si>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</si>
  <si>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</si>
  <si>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</si>
  <si>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</si>
  <si>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</si>
  <si>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</si>
  <si>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</si>
  <si>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</si>
  <si>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</si>
  <si>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</si>
  <si>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</si>
  <si>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</si>
  <si>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</si>
  <si>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</si>
  <si>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</si>
  <si>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</si>
  <si>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</si>
  <si>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</si>
  <si>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</si>
  <si>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</si>
  <si>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</si>
  <si>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</si>
  <si>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</si>
  <si>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</si>
  <si>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</si>
  <si>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</si>
  <si>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</si>
  <si>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</si>
  <si>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</si>
  <si>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</si>
  <si>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</si>
  <si>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</si>
  <si>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</si>
  <si>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</si>
  <si>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</si>
  <si>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</si>
  <si>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AZZ</t>
  </si>
  <si>
    <t xml:space="preserve">Azil za zivotinje </t>
  </si>
  <si>
    <t>Joint Project</t>
  </si>
  <si>
    <t>SPCA Straż Zwierzat Polska</t>
  </si>
  <si>
    <t>University of California</t>
  </si>
  <si>
    <t>Cairo University</t>
  </si>
  <si>
    <t>Unversity of Belgrade</t>
  </si>
  <si>
    <t>Rescue animals of North Africa</t>
  </si>
  <si>
    <t>Novi Pazar</t>
  </si>
  <si>
    <t>Warsaw</t>
  </si>
  <si>
    <t>Davis</t>
  </si>
  <si>
    <t>Cairo</t>
  </si>
  <si>
    <t>Belgrade</t>
  </si>
  <si>
    <t>Tunisia City</t>
  </si>
  <si>
    <t>Tehnoloska potreba za olaksanje procesa udomljavanja</t>
  </si>
  <si>
    <t>Potrebna hrana za zivotinje</t>
  </si>
  <si>
    <t>Prijavljeno osoblje koje ce na lokalu ucestvovati u disitiminaciji projekta I osobe zaduzene za izradu televizijskih reklama</t>
  </si>
  <si>
    <t>Prijavljeno osoblje koje ce na lokalu ucestvovati u disitiminaciji projekta I osobe zaduzene za promociju putem drustvenih mreza</t>
  </si>
  <si>
    <t>Prijavljeno osoblje koje ce na lokalu ucestvovati u disitiminaciji projekta I osobe zaduzene za promociju putem internet reklama</t>
  </si>
  <si>
    <t>Prijavljeno osoblje koje ce vrsiti ekstremnu reviziju projekta</t>
  </si>
  <si>
    <t>Finansira troskove putovanja I odsedanja</t>
  </si>
  <si>
    <t>Finansira troskove pripreme materijala za seminar</t>
  </si>
  <si>
    <t>Potrebna sredstva za:Pripremu materijala za seminar (3 dana x 10 sati x 50 osoba x 25Evra)</t>
  </si>
  <si>
    <t>Potreban sredstva za :Troskovi putovanja I odsedanja za dodatno osoblje (3 dana x 25 osoba x 500Evra)</t>
  </si>
  <si>
    <t>Potreban sredstva za razvoj I implementaciju softvera ()</t>
  </si>
  <si>
    <t>University of Belgrade</t>
  </si>
  <si>
    <t>30 laptopova ASUS ROG W112-73 (RTX 4090 16GB,32GB RAM,RYZEN 7 5800X)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</si>
</sst>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245">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16" zoomScale="70" zoomScaleNormal="70" zoomScaleSheetLayoutView="85" workbookViewId="0">
      <selection activeCell="D37" sqref="D37"/>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13" t="s">
        <v>355</v>
      </c>
      <c r="C7" s="113"/>
      <c r="D7" s="113"/>
      <c r="E7" s="113"/>
      <c r="F7" s="113"/>
      <c r="G7" s="113"/>
      <c r="H7" s="113"/>
      <c r="I7" s="113"/>
      <c r="J7" s="113"/>
      <c r="K7" s="113"/>
      <c r="L7" s="113"/>
    </row>
    <row r="8" spans="2:12" ht="24.9" customHeight="1" x14ac:dyDescent="0.35">
      <c r="B8" s="114" t="s">
        <v>356</v>
      </c>
      <c r="C8" s="114"/>
      <c r="D8" s="114"/>
      <c r="E8" s="114"/>
      <c r="F8" s="114"/>
      <c r="G8" s="114"/>
      <c r="H8" s="114"/>
      <c r="I8" s="114"/>
      <c r="J8" s="114"/>
      <c r="K8" s="114"/>
      <c r="L8" s="114"/>
    </row>
    <row r="9" spans="2:12" ht="24.9" customHeight="1" x14ac:dyDescent="0.35">
      <c r="B9" s="115" t="s">
        <v>130</v>
      </c>
      <c r="C9" s="115"/>
      <c r="D9" s="115"/>
      <c r="E9" s="115"/>
      <c r="F9" s="115"/>
      <c r="G9" s="115"/>
      <c r="H9" s="115"/>
      <c r="I9" s="115"/>
      <c r="J9" s="115"/>
      <c r="K9" s="115"/>
      <c r="L9" s="115"/>
    </row>
    <row r="10" spans="2:12" ht="20.100000000000001" customHeight="1" x14ac:dyDescent="0.35">
      <c r="B10" s="7"/>
      <c r="C10" s="7"/>
      <c r="D10" s="4"/>
      <c r="E10" s="4"/>
      <c r="F10" s="4"/>
      <c r="G10" s="4"/>
      <c r="H10" s="4"/>
      <c r="I10" s="4"/>
      <c r="J10" s="4"/>
      <c r="K10" s="4"/>
    </row>
    <row r="11" spans="2:12" ht="18" customHeight="1" x14ac:dyDescent="0.35">
      <c r="B11" s="104" t="s">
        <v>2</v>
      </c>
      <c r="C11" s="104"/>
      <c r="D11" s="8" t="s">
        <v>362</v>
      </c>
      <c r="E11" s="116" t="str">
        <f>IF(D11="","Please select Action Type",IF(OR(D11="Joint Project",D11="Structural Project"),"","Error Type of Action"))</f>
        <v/>
      </c>
      <c r="F11" s="116"/>
      <c r="G11" s="116"/>
      <c r="H11" s="116"/>
      <c r="I11" s="116"/>
      <c r="J11" s="116"/>
      <c r="K11" s="116"/>
      <c r="L11" s="116"/>
    </row>
    <row r="12" spans="2:12" ht="18" customHeight="1" x14ac:dyDescent="0.35">
      <c r="B12" s="104" t="s">
        <v>136</v>
      </c>
      <c r="C12" s="104"/>
      <c r="D12" s="8">
        <v>24</v>
      </c>
      <c r="E12" s="116" t="str">
        <f>IF(D12="","Please select duration",IF(OR(D12=24,D12=36),"","Error duration"))</f>
        <v/>
      </c>
      <c r="F12" s="116"/>
      <c r="G12" s="116"/>
      <c r="H12" s="116"/>
      <c r="I12" s="116"/>
      <c r="J12" s="116"/>
      <c r="K12" s="116"/>
      <c r="L12" s="116"/>
    </row>
    <row r="13" spans="2:12" ht="18" customHeight="1" x14ac:dyDescent="0.35">
      <c r="B13" s="104" t="s">
        <v>169</v>
      </c>
      <c r="C13" s="104"/>
      <c r="D13" s="8" t="s">
        <v>360</v>
      </c>
      <c r="E13" s="116" t="str">
        <f>IF(D13="","Please fill in Project Acronym","")</f>
        <v/>
      </c>
      <c r="F13" s="116"/>
      <c r="G13" s="116"/>
      <c r="H13" s="116"/>
      <c r="I13" s="116"/>
      <c r="J13" s="116"/>
      <c r="K13" s="116"/>
      <c r="L13" s="116"/>
    </row>
    <row r="14" spans="2:12" ht="18" customHeight="1" x14ac:dyDescent="0.35">
      <c r="B14" s="104" t="s">
        <v>170</v>
      </c>
      <c r="C14" s="104"/>
      <c r="D14" s="117" t="s">
        <v>361</v>
      </c>
      <c r="E14" s="118"/>
      <c r="F14" s="118"/>
      <c r="G14" s="118"/>
      <c r="H14" s="118"/>
      <c r="I14" s="118"/>
      <c r="J14" s="118"/>
      <c r="K14" s="118"/>
      <c r="L14" s="119"/>
    </row>
    <row r="15" spans="2:12" ht="20.100000000000001" customHeight="1" x14ac:dyDescent="0.35">
      <c r="B15" s="4"/>
      <c r="C15" s="4"/>
      <c r="D15" s="4"/>
      <c r="E15" s="4"/>
      <c r="F15" s="4"/>
      <c r="G15" s="4"/>
      <c r="H15" s="4"/>
      <c r="I15" s="4"/>
      <c r="J15" s="4"/>
      <c r="K15" s="4"/>
    </row>
    <row r="16" spans="2:12" ht="24.9" customHeight="1" x14ac:dyDescent="0.35">
      <c r="B16" s="103" t="s">
        <v>222</v>
      </c>
      <c r="C16" s="103"/>
      <c r="D16" s="103"/>
      <c r="E16" s="103"/>
      <c r="F16" s="103"/>
      <c r="G16" s="103"/>
      <c r="H16" s="103"/>
      <c r="I16" s="103"/>
      <c r="J16" s="103"/>
      <c r="K16" s="103"/>
      <c r="L16" s="103"/>
    </row>
    <row r="17" spans="2:12" x14ac:dyDescent="0.35">
      <c r="B17" s="104" t="s">
        <v>166</v>
      </c>
      <c r="C17" s="104"/>
      <c r="D17" s="9">
        <f>'1. Staff costs'!D9</f>
        <v>216663</v>
      </c>
      <c r="E17" s="101" t="str">
        <f>"Cannot exceed 40% of total Grant requested"</f>
        <v>Cannot exceed 40% of total Grant requested</v>
      </c>
      <c r="F17" s="102"/>
      <c r="G17" s="102"/>
      <c r="H17" s="102"/>
      <c r="I17" s="99" t="str">
        <f>IF(COUNTIF('1. Staff costs'!T:T,"Error")&lt;=1,"","Please check data in Tab '1. Staff Costs'")</f>
        <v/>
      </c>
      <c r="J17" s="99"/>
      <c r="K17" s="99"/>
      <c r="L17" s="100"/>
    </row>
    <row r="18" spans="2:12" x14ac:dyDescent="0.35">
      <c r="B18" s="104" t="s">
        <v>341</v>
      </c>
      <c r="C18" s="104"/>
      <c r="D18" s="9">
        <f>' 2-3-6. Travel&amp;Costs of Stay'!D8</f>
        <v>105775</v>
      </c>
      <c r="E18" s="101"/>
      <c r="F18" s="102"/>
      <c r="G18" s="102"/>
      <c r="H18" s="102"/>
      <c r="I18" s="99" t="str">
        <f>IF(COUNTIF(' 2-3-6. Travel&amp;Costs of Stay'!R:R,"Error")&lt;=1,"","Please check data in Tab '2-3-6. Travel&amp;Costs of Stay'")</f>
        <v/>
      </c>
      <c r="J18" s="99"/>
      <c r="K18" s="99"/>
      <c r="L18" s="100"/>
    </row>
    <row r="19" spans="2:12" x14ac:dyDescent="0.35">
      <c r="B19" s="104" t="s">
        <v>187</v>
      </c>
      <c r="C19" s="104"/>
      <c r="D19" s="9">
        <f>' 2-3-6. Travel&amp;Costs of Stay'!D9</f>
        <v>304500</v>
      </c>
      <c r="E19" s="111"/>
      <c r="F19" s="112"/>
      <c r="G19" s="112"/>
      <c r="H19" s="112"/>
      <c r="I19" s="99" t="str">
        <f>IF(COUNTIF(' 2-3-6. Travel&amp;Costs of Stay'!R:R,"Error")&lt;=1,"","Please check data in Tab '2-3-6. Travel&amp;Costs of Stay'")</f>
        <v/>
      </c>
      <c r="J19" s="99"/>
      <c r="K19" s="99"/>
      <c r="L19" s="100"/>
    </row>
    <row r="20" spans="2:12" x14ac:dyDescent="0.35">
      <c r="B20" s="104" t="s">
        <v>185</v>
      </c>
      <c r="C20" s="104"/>
      <c r="D20" s="9">
        <f>'4. Equipment Costs'!C4</f>
        <v>270000</v>
      </c>
      <c r="E20" s="101" t="str">
        <f>"Cannot exceed 30% of Total Grant requested"</f>
        <v>Cannot exceed 30% of Total Grant requested</v>
      </c>
      <c r="F20" s="102"/>
      <c r="G20" s="102"/>
      <c r="H20" s="102"/>
      <c r="I20" s="99" t="str">
        <f>IF(COUNTIF('4. Equipment Costs'!I:I,"Error")&lt;=1,"","Please check data in Tab '4. Equipment Costs''")</f>
        <v/>
      </c>
      <c r="J20" s="99"/>
      <c r="K20" s="99"/>
      <c r="L20" s="100"/>
    </row>
    <row r="21" spans="2:12" x14ac:dyDescent="0.35">
      <c r="B21" s="104" t="s">
        <v>186</v>
      </c>
      <c r="C21" s="104"/>
      <c r="D21" s="9">
        <f>'5. Subcontracting Costs'!C4</f>
        <v>63000</v>
      </c>
      <c r="E21" s="101" t="str">
        <f>"Cannot exceed 10% of Total Grant requested"</f>
        <v>Cannot exceed 10% of Total Grant requested</v>
      </c>
      <c r="F21" s="102"/>
      <c r="G21" s="102"/>
      <c r="H21" s="102"/>
      <c r="I21" s="99" t="str">
        <f>IF(COUNTIF('5. Subcontracting Costs'!I:I,"Error")&lt;=1,"","Please check data in Tab '5. Subcontracting Costs'")</f>
        <v/>
      </c>
      <c r="J21" s="99"/>
      <c r="K21" s="99"/>
      <c r="L21" s="100"/>
    </row>
    <row r="22" spans="2:12" x14ac:dyDescent="0.35">
      <c r="B22" s="104" t="s">
        <v>340</v>
      </c>
      <c r="C22" s="104"/>
      <c r="D22" s="9">
        <f>IF(OR(C27="",D27=""),0,' 2-3-6. Travel&amp;Costs of Stay'!D10)</f>
        <v>0</v>
      </c>
      <c r="E22" s="101"/>
      <c r="F22" s="102"/>
      <c r="G22" s="102"/>
      <c r="H22" s="102"/>
      <c r="I22" s="99" t="str">
        <f>IF(COUNTIF(' 2-3-6. Travel&amp;Costs of Stay'!R:R,"Error")&lt;=1,"","Please check data in Tab '2-3-6. Travel&amp;Costs of Stay'")</f>
        <v/>
      </c>
      <c r="J22" s="99"/>
      <c r="K22" s="99"/>
      <c r="L22" s="100"/>
    </row>
    <row r="23" spans="2:12" ht="24.9" customHeight="1" x14ac:dyDescent="0.35">
      <c r="B23" s="105" t="s">
        <v>332</v>
      </c>
      <c r="C23" s="106"/>
      <c r="D23" s="10">
        <f>SUM(D17:D22)</f>
        <v>959938</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x14ac:dyDescent="0.35">
      <c r="B24" s="4"/>
      <c r="C24" s="4"/>
      <c r="D24" s="4"/>
      <c r="E24" s="4"/>
      <c r="F24" s="4"/>
      <c r="G24" s="4"/>
      <c r="H24" s="4"/>
      <c r="I24" s="4"/>
      <c r="J24" s="4"/>
      <c r="K24" s="4"/>
    </row>
    <row r="25" spans="2:12" ht="24.9" customHeight="1" x14ac:dyDescent="0.35">
      <c r="B25" s="103" t="s">
        <v>179</v>
      </c>
      <c r="C25" s="103"/>
      <c r="D25" s="103"/>
      <c r="E25" s="103"/>
      <c r="F25" s="103"/>
      <c r="G25" s="103"/>
      <c r="H25" s="103"/>
      <c r="I25" s="103"/>
      <c r="J25" s="103"/>
      <c r="K25" s="103"/>
      <c r="L25" s="103"/>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363</v>
      </c>
      <c r="D27" s="14" t="s">
        <v>51</v>
      </c>
      <c r="E27" s="15" t="str">
        <f t="shared" ref="E27:E81" si="0">IFERROR(IF(D27&lt;&gt;"",VLOOKUP(D27,CountryType,2,FALSE),""),"Country not found")</f>
        <v>Programme Countries</v>
      </c>
      <c r="F27" s="16">
        <f>SUMIF('1. Staff costs'!C:C,B27,'1. Staff costs'!S:S)</f>
        <v>42558</v>
      </c>
      <c r="G27" s="16">
        <f>SUMIF(' 2-3-6. Travel&amp;Costs of Stay'!C:C,B27,' 2-3-6. Travel&amp;Costs of Stay'!O:O)</f>
        <v>9625</v>
      </c>
      <c r="H27" s="16">
        <f>SUMIF(' 2-3-6. Travel&amp;Costs of Stay'!C:C,B27,' 2-3-6. Travel&amp;Costs of Stay'!P:P)</f>
        <v>55400</v>
      </c>
      <c r="I27" s="16">
        <f>SUMIF('4. Equipment Costs'!C:C,B27,'4. Equipment Costs'!H:H)</f>
        <v>0</v>
      </c>
      <c r="J27" s="16">
        <f>SUMIF('5. Subcontracting Costs'!C:C,B27,'5. Subcontracting Costs'!H:H)</f>
        <v>20000</v>
      </c>
      <c r="K27" s="16">
        <f>SUMIF(' 2-3-6. Travel&amp;Costs of Stay'!C:C,B27,' 2-3-6. Travel&amp;Costs of Stay'!N:N)</f>
        <v>0</v>
      </c>
      <c r="L27" s="17">
        <f>IF(OR(C27="",D27=""),0,SUM(F27:K27))</f>
        <v>127583</v>
      </c>
    </row>
    <row r="28" spans="2:12" x14ac:dyDescent="0.35">
      <c r="B28" s="44" t="s">
        <v>9</v>
      </c>
      <c r="C28" s="18" t="s">
        <v>364</v>
      </c>
      <c r="D28" s="14" t="s">
        <v>45</v>
      </c>
      <c r="E28" s="15" t="str">
        <f t="shared" si="0"/>
        <v>Programme Countries</v>
      </c>
      <c r="F28" s="16">
        <f>SUMIF('1. Staff costs'!C:C,B28,'1. Staff costs'!S:S)</f>
        <v>80296</v>
      </c>
      <c r="G28" s="16">
        <f>SUMIF(' 2-3-6. Travel&amp;Costs of Stay'!C:C,B28,' 2-3-6. Travel&amp;Costs of Stay'!O:O)</f>
        <v>52500</v>
      </c>
      <c r="H28" s="16">
        <f>SUMIF(' 2-3-6. Travel&amp;Costs of Stay'!C:C,B28,' 2-3-6. Travel&amp;Costs of Stay'!P:P)</f>
        <v>59100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191896</v>
      </c>
    </row>
    <row r="29" spans="2:12" x14ac:dyDescent="0.35">
      <c r="B29" s="44" t="s">
        <v>10</v>
      </c>
      <c r="C29" s="18" t="s">
        <v>365</v>
      </c>
      <c r="D29" s="14" t="s">
        <v>72</v>
      </c>
      <c r="E29" s="15" t="str">
        <f t="shared" si="0"/>
        <v>Partner Countries</v>
      </c>
      <c r="F29" s="16">
        <f>SUMIF('1. Staff costs'!C:C,B29,'1. Staff costs'!S:S)</f>
        <v>24810</v>
      </c>
      <c r="G29" s="16">
        <f>SUMIF(' 2-3-6. Travel&amp;Costs of Stay'!C:C,B29,' 2-3-6. Travel&amp;Costs of Stay'!O:O)</f>
        <v>23850</v>
      </c>
      <c r="H29" s="16">
        <f>SUMIF(' 2-3-6. Travel&amp;Costs of Stay'!C:C,B29,' 2-3-6. Travel&amp;Costs of Stay'!P:P)</f>
        <v>74450</v>
      </c>
      <c r="I29" s="16">
        <f>SUMIF('4. Equipment Costs'!C:C,B29,'4. Equipment Costs'!H:H)</f>
        <v>100000</v>
      </c>
      <c r="J29" s="16">
        <f>SUMIF('5. Subcontracting Costs'!C:C,B29,'5. Subcontracting Costs'!H:H)</f>
        <v>13000</v>
      </c>
      <c r="K29" s="16">
        <f>SUMIF(' 2-3-6. Travel&amp;Costs of Stay'!C:C,B29,' 2-3-6. Travel&amp;Costs of Stay'!N:N)</f>
        <v>0</v>
      </c>
      <c r="L29" s="17">
        <f t="shared" si="1"/>
        <v>236110</v>
      </c>
    </row>
    <row r="30" spans="2:12" x14ac:dyDescent="0.35">
      <c r="B30" s="44" t="s">
        <v>11</v>
      </c>
      <c r="C30" s="18" t="s">
        <v>366</v>
      </c>
      <c r="D30" s="14" t="s">
        <v>98</v>
      </c>
      <c r="E30" s="15" t="str">
        <f t="shared" si="0"/>
        <v>Programme Countries</v>
      </c>
      <c r="F30" s="16">
        <f>SUMIF('1. Staff costs'!C:C,B30,'1. Staff costs'!S:S)</f>
        <v>46303</v>
      </c>
      <c r="G30" s="16">
        <f>SUMIF(' 2-3-6. Travel&amp;Costs of Stay'!C:C,B30,' 2-3-6. Travel&amp;Costs of Stay'!O:O)</f>
        <v>7200</v>
      </c>
      <c r="H30" s="16">
        <f>SUMIF(' 2-3-6. Travel&amp;Costs of Stay'!C:C,B30,' 2-3-6. Travel&amp;Costs of Stay'!P:P)</f>
        <v>62000</v>
      </c>
      <c r="I30" s="16">
        <f>SUMIF('4. Equipment Costs'!C:C,B30,'4. Equipment Costs'!H:H)</f>
        <v>0</v>
      </c>
      <c r="J30" s="16">
        <f>SUMIF('5. Subcontracting Costs'!C:C,B30,'5. Subcontracting Costs'!H:H)</f>
        <v>30000</v>
      </c>
      <c r="K30" s="16">
        <f>SUMIF(' 2-3-6. Travel&amp;Costs of Stay'!C:C,B30,' 2-3-6. Travel&amp;Costs of Stay'!N:N)</f>
        <v>0</v>
      </c>
      <c r="L30" s="17">
        <f t="shared" si="1"/>
        <v>145503</v>
      </c>
    </row>
    <row r="31" spans="2:12" x14ac:dyDescent="0.35">
      <c r="B31" s="44" t="s">
        <v>12</v>
      </c>
      <c r="C31" s="18" t="s">
        <v>367</v>
      </c>
      <c r="D31" s="14" t="s">
        <v>103</v>
      </c>
      <c r="E31" s="15" t="str">
        <f t="shared" si="0"/>
        <v>Partner Countries</v>
      </c>
      <c r="F31" s="16">
        <f>SUMIF('1. Staff costs'!C:C,B31,'1. Staff costs'!S:S)</f>
        <v>22696</v>
      </c>
      <c r="G31" s="16">
        <f>SUMIF(' 2-3-6. Travel&amp;Costs of Stay'!C:C,B31,' 2-3-6. Travel&amp;Costs of Stay'!O:O)</f>
        <v>12600</v>
      </c>
      <c r="H31" s="16">
        <f>SUMIF(' 2-3-6. Travel&amp;Costs of Stay'!C:C,B31,' 2-3-6. Travel&amp;Costs of Stay'!P:P)</f>
        <v>53550</v>
      </c>
      <c r="I31" s="16">
        <f>SUMIF('4. Equipment Costs'!C:C,B31,'4. Equipment Costs'!H:H)</f>
        <v>170000</v>
      </c>
      <c r="J31" s="16">
        <f>SUMIF('5. Subcontracting Costs'!C:C,B31,'5. Subcontracting Costs'!H:H)</f>
        <v>0</v>
      </c>
      <c r="K31" s="16">
        <f>SUMIF(' 2-3-6. Travel&amp;Costs of Stay'!C:C,B31,' 2-3-6. Travel&amp;Costs of Stay'!N:N)</f>
        <v>0</v>
      </c>
      <c r="L31" s="17">
        <f t="shared" si="1"/>
        <v>258846</v>
      </c>
    </row>
    <row r="32" spans="2:12" x14ac:dyDescent="0.35">
      <c r="B32" s="44" t="s">
        <v>13</v>
      </c>
      <c r="C32" s="18"/>
      <c r="D32" s="14"/>
      <c r="E32" s="15" t="str">
        <f t="shared" si="0"/>
        <v/>
      </c>
      <c r="F32" s="16">
        <f>SUMIF('1. Staff costs'!C:C,B32,'1. Staff costs'!S:S)</f>
        <v>0</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0</v>
      </c>
    </row>
    <row r="33" spans="2:12" x14ac:dyDescent="0.35">
      <c r="B33" s="44" t="s">
        <v>14</v>
      </c>
      <c r="C33" s="18"/>
      <c r="D33" s="14"/>
      <c r="E33" s="15" t="str">
        <f t="shared" si="0"/>
        <v/>
      </c>
      <c r="F33" s="16">
        <f>SUMIF('1. Staff costs'!C:C,B33,'1. Staff costs'!S:S)</f>
        <v>0</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0</v>
      </c>
      <c r="K33" s="16">
        <f>SUMIF(' 2-3-6. Travel&amp;Costs of Stay'!C:C,B33,' 2-3-6. Travel&amp;Costs of Stay'!N:N)</f>
        <v>0</v>
      </c>
      <c r="L33" s="17">
        <f t="shared" si="1"/>
        <v>0</v>
      </c>
    </row>
    <row r="34" spans="2:12" x14ac:dyDescent="0.35">
      <c r="B34" s="44" t="s">
        <v>15</v>
      </c>
      <c r="C34" s="18"/>
      <c r="D34" s="14"/>
      <c r="E34" s="15" t="str">
        <f t="shared" si="0"/>
        <v/>
      </c>
      <c r="F34" s="16">
        <f>SUMIF('1. Staff costs'!C:C,B34,'1. Staff costs'!S:S)</f>
        <v>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0</v>
      </c>
    </row>
    <row r="35" spans="2:12" x14ac:dyDescent="0.35">
      <c r="B35" s="44" t="s">
        <v>16</v>
      </c>
      <c r="C35" s="18"/>
      <c r="D35" s="14"/>
      <c r="E35" s="15" t="str">
        <f t="shared" si="0"/>
        <v/>
      </c>
      <c r="F35" s="16">
        <f>SUMIF('1. Staff costs'!C:C,B35,'1. Staff costs'!S:S)</f>
        <v>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0</v>
      </c>
    </row>
    <row r="36" spans="2:12" x14ac:dyDescent="0.35">
      <c r="B36" s="44" t="s">
        <v>17</v>
      </c>
      <c r="C36" s="18"/>
      <c r="D36" s="14"/>
      <c r="E36" s="15" t="str">
        <f t="shared" si="0"/>
        <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x14ac:dyDescent="0.35">
      <c r="B37" s="44" t="s">
        <v>18</v>
      </c>
      <c r="C37" s="18"/>
      <c r="D37" s="14"/>
      <c r="E37" s="15" t="str">
        <f t="shared" si="0"/>
        <v/>
      </c>
      <c r="F37" s="16">
        <f>SUMIF('1. Staff costs'!C:C,B37,'1. Staff costs'!S:S)</f>
        <v>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0</v>
      </c>
    </row>
    <row r="38" spans="2:12" x14ac:dyDescent="0.35">
      <c r="B38" s="44" t="s">
        <v>19</v>
      </c>
      <c r="C38" s="18"/>
      <c r="D38" s="14"/>
      <c r="E38" s="15" t="str">
        <f t="shared" si="0"/>
        <v/>
      </c>
      <c r="F38" s="16">
        <f>SUMIF('1. Staff costs'!C:C,B38,'1. Staff costs'!S:S)</f>
        <v>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0</v>
      </c>
    </row>
    <row r="39" spans="2:12" x14ac:dyDescent="0.35">
      <c r="B39" s="44" t="s">
        <v>156</v>
      </c>
      <c r="C39" s="18"/>
      <c r="D39" s="14"/>
      <c r="E39" s="15" t="str">
        <f t="shared" si="0"/>
        <v/>
      </c>
      <c r="F39" s="16">
        <f>SUMIF('1. Staff costs'!C:C,B39,'1. Staff costs'!S:S)</f>
        <v>0</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0</v>
      </c>
    </row>
    <row r="40" spans="2:12" x14ac:dyDescent="0.35">
      <c r="B40" s="44" t="s">
        <v>20</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x14ac:dyDescent="0.35">
      <c r="B41" s="44" t="s">
        <v>21</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244" priority="18">
      <formula>D17&gt;ROUND(D23*0.4,2)</formula>
    </cfRule>
  </conditionalFormatting>
  <conditionalFormatting sqref="D20">
    <cfRule type="expression" dxfId="243" priority="16">
      <formula>D20&gt;ROUND(D23*0.3,2)</formula>
    </cfRule>
  </conditionalFormatting>
  <conditionalFormatting sqref="D21">
    <cfRule type="expression" dxfId="242" priority="14">
      <formula>D21&gt;ROUND(D23*0.1,2)</formula>
    </cfRule>
  </conditionalFormatting>
  <conditionalFormatting sqref="D23">
    <cfRule type="cellIs" dxfId="241" priority="12" operator="notBetween">
      <formula>500000</formula>
      <formula>1000000</formula>
    </cfRule>
  </conditionalFormatting>
  <conditionalFormatting sqref="E18 I18">
    <cfRule type="cellIs" dxfId="240" priority="2" operator="equal">
      <formula>"Exceptional travel costs exceed 80% of total travel costs"</formula>
    </cfRule>
  </conditionalFormatting>
  <conditionalFormatting sqref="I19">
    <cfRule type="cellIs" dxfId="239"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237" priority="5" operator="notEqual">
      <formula>"OK"</formula>
    </cfRule>
    <cfRule type="cellIs" dxfId="236"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4"/>
  <sheetViews>
    <sheetView showGridLines="0" zoomScale="70" zoomScaleNormal="70" zoomScaleSheetLayoutView="55" workbookViewId="0">
      <pane ySplit="13" topLeftCell="A18" activePane="bottomLeft" state="frozen"/>
      <selection pane="bottomLeft" activeCell="B34" sqref="B3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20" t="s">
        <v>166</v>
      </c>
      <c r="C2" s="120"/>
      <c r="D2" s="120"/>
      <c r="E2" s="120"/>
      <c r="F2" s="120"/>
      <c r="G2" s="120"/>
      <c r="H2" s="120"/>
      <c r="I2" s="120"/>
      <c r="J2" s="120"/>
      <c r="K2" s="120"/>
      <c r="L2" s="120"/>
      <c r="M2" s="120"/>
      <c r="N2" s="120"/>
      <c r="O2" s="120"/>
      <c r="P2" s="120"/>
      <c r="Q2" s="120"/>
      <c r="R2" s="120"/>
      <c r="S2" s="120"/>
      <c r="T2" s="120"/>
    </row>
    <row r="3" spans="2:20" s="20" customFormat="1" ht="8.1" customHeight="1" x14ac:dyDescent="0.35">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x14ac:dyDescent="0.35">
      <c r="B4" s="131"/>
      <c r="C4" s="132"/>
      <c r="D4" s="40" t="s">
        <v>184</v>
      </c>
      <c r="E4" s="40" t="s">
        <v>182</v>
      </c>
      <c r="F4" s="135"/>
      <c r="G4" s="136"/>
      <c r="H4" s="136"/>
      <c r="I4" s="136"/>
      <c r="J4" s="136"/>
      <c r="K4" s="136"/>
      <c r="L4" s="136"/>
      <c r="M4" s="136"/>
      <c r="N4" s="136"/>
      <c r="O4" s="136"/>
      <c r="P4" s="136"/>
      <c r="Q4" s="136"/>
      <c r="R4" s="136"/>
      <c r="S4" s="136"/>
      <c r="T4" s="137"/>
    </row>
    <row r="5" spans="2:20" s="20" customFormat="1" ht="20.100000000000001" customHeight="1" x14ac:dyDescent="0.35">
      <c r="B5" s="127" t="s">
        <v>131</v>
      </c>
      <c r="C5" s="128"/>
      <c r="D5" s="41">
        <f>SUM(H:H)</f>
        <v>96173</v>
      </c>
      <c r="E5" s="24">
        <f>SUMIF(T:T,"&lt;&gt;Error",F:F)</f>
        <v>1194</v>
      </c>
      <c r="F5" s="135"/>
      <c r="G5" s="136"/>
      <c r="H5" s="136"/>
      <c r="I5" s="136"/>
      <c r="J5" s="136"/>
      <c r="K5" s="136"/>
      <c r="L5" s="136"/>
      <c r="M5" s="136"/>
      <c r="N5" s="136"/>
      <c r="O5" s="136"/>
      <c r="P5" s="136"/>
      <c r="Q5" s="136"/>
      <c r="R5" s="136"/>
      <c r="S5" s="136"/>
      <c r="T5" s="137"/>
    </row>
    <row r="6" spans="2:20" s="20" customFormat="1" ht="20.100000000000001" customHeight="1" x14ac:dyDescent="0.35">
      <c r="B6" s="129" t="s">
        <v>129</v>
      </c>
      <c r="C6" s="130"/>
      <c r="D6" s="41">
        <f>SUM(K:K)</f>
        <v>51766</v>
      </c>
      <c r="E6" s="24">
        <f>SUMIF(T:T,"&lt;&gt;Error",I:I)</f>
        <v>736</v>
      </c>
      <c r="F6" s="135"/>
      <c r="G6" s="136"/>
      <c r="H6" s="136"/>
      <c r="I6" s="136"/>
      <c r="J6" s="136"/>
      <c r="K6" s="136"/>
      <c r="L6" s="136"/>
      <c r="M6" s="136"/>
      <c r="N6" s="136"/>
      <c r="O6" s="136"/>
      <c r="P6" s="136"/>
      <c r="Q6" s="136"/>
      <c r="R6" s="136"/>
      <c r="S6" s="136"/>
      <c r="T6" s="137"/>
    </row>
    <row r="7" spans="2:20" s="20" customFormat="1" ht="20.100000000000001" customHeight="1" x14ac:dyDescent="0.35">
      <c r="B7" s="127" t="s">
        <v>314</v>
      </c>
      <c r="C7" s="128"/>
      <c r="D7" s="41">
        <f>SUM(N:N)</f>
        <v>37841</v>
      </c>
      <c r="E7" s="24">
        <f>SUMIF(T:T,"&lt;&gt;Error",L:L)</f>
        <v>700</v>
      </c>
      <c r="F7" s="135"/>
      <c r="G7" s="136"/>
      <c r="H7" s="136"/>
      <c r="I7" s="136"/>
      <c r="J7" s="136"/>
      <c r="K7" s="136"/>
      <c r="L7" s="136"/>
      <c r="M7" s="136"/>
      <c r="N7" s="136"/>
      <c r="O7" s="136"/>
      <c r="P7" s="136"/>
      <c r="Q7" s="136"/>
      <c r="R7" s="136"/>
      <c r="S7" s="136"/>
      <c r="T7" s="137"/>
    </row>
    <row r="8" spans="2:20" s="20" customFormat="1" ht="20.100000000000001" customHeight="1" x14ac:dyDescent="0.35">
      <c r="B8" s="127" t="s">
        <v>313</v>
      </c>
      <c r="C8" s="128"/>
      <c r="D8" s="41">
        <f>SUM(Q:Q)</f>
        <v>30883</v>
      </c>
      <c r="E8" s="24">
        <f>SUMIF(T:T,"&lt;&gt;Error",O:O)</f>
        <v>835</v>
      </c>
      <c r="F8" s="135"/>
      <c r="G8" s="136"/>
      <c r="H8" s="136"/>
      <c r="I8" s="136"/>
      <c r="J8" s="136"/>
      <c r="K8" s="136"/>
      <c r="L8" s="136"/>
      <c r="M8" s="136"/>
      <c r="N8" s="136"/>
      <c r="O8" s="136"/>
      <c r="P8" s="136"/>
      <c r="Q8" s="136"/>
      <c r="R8" s="136"/>
      <c r="S8" s="136"/>
      <c r="T8" s="137"/>
    </row>
    <row r="9" spans="2:20" s="20" customFormat="1" ht="20.100000000000001" customHeight="1" x14ac:dyDescent="0.35">
      <c r="B9" s="133"/>
      <c r="C9" s="134"/>
      <c r="D9" s="26">
        <f>SUM(D5:D8)</f>
        <v>216663</v>
      </c>
      <c r="E9" s="25">
        <f>SUM(E5:E8)</f>
        <v>3465</v>
      </c>
      <c r="F9" s="135"/>
      <c r="G9" s="136"/>
      <c r="H9" s="136"/>
      <c r="I9" s="136"/>
      <c r="J9" s="136"/>
      <c r="K9" s="136"/>
      <c r="L9" s="136"/>
      <c r="M9" s="136"/>
      <c r="N9" s="136"/>
      <c r="O9" s="136"/>
      <c r="P9" s="136"/>
      <c r="Q9" s="136"/>
      <c r="R9" s="136"/>
      <c r="S9" s="136"/>
      <c r="T9" s="137"/>
    </row>
    <row r="10" spans="2:20" s="20" customFormat="1" ht="8.1" customHeight="1" x14ac:dyDescent="0.35">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x14ac:dyDescent="0.35">
      <c r="B11" s="121" t="s">
        <v>162</v>
      </c>
      <c r="C11" s="121" t="s">
        <v>147</v>
      </c>
      <c r="D11" s="121" t="s">
        <v>216</v>
      </c>
      <c r="E11" s="121" t="s">
        <v>217</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198</v>
      </c>
      <c r="S11" s="121" t="s">
        <v>163</v>
      </c>
      <c r="T11" s="121" t="s">
        <v>218</v>
      </c>
    </row>
    <row r="12" spans="2:20" s="45" customFormat="1" ht="42" customHeight="1" x14ac:dyDescent="0.35">
      <c r="B12" s="122"/>
      <c r="C12" s="122"/>
      <c r="D12" s="122"/>
      <c r="E12" s="122"/>
      <c r="F12" s="46" t="s">
        <v>207</v>
      </c>
      <c r="G12" s="27" t="s">
        <v>211</v>
      </c>
      <c r="H12" s="46" t="s">
        <v>164</v>
      </c>
      <c r="I12" s="46" t="s">
        <v>207</v>
      </c>
      <c r="J12" s="27" t="s">
        <v>211</v>
      </c>
      <c r="K12" s="46" t="s">
        <v>164</v>
      </c>
      <c r="L12" s="46" t="s">
        <v>207</v>
      </c>
      <c r="M12" s="27" t="s">
        <v>211</v>
      </c>
      <c r="N12" s="46" t="s">
        <v>164</v>
      </c>
      <c r="O12" s="46" t="s">
        <v>207</v>
      </c>
      <c r="P12" s="27" t="s">
        <v>211</v>
      </c>
      <c r="Q12" s="46" t="s">
        <v>164</v>
      </c>
      <c r="R12" s="122"/>
      <c r="S12" s="122"/>
      <c r="T12" s="12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173</v>
      </c>
      <c r="C14" s="19" t="s">
        <v>8</v>
      </c>
      <c r="D14" s="42" t="str">
        <f t="shared" si="0"/>
        <v>SPCA Straż Zwierzat Polska</v>
      </c>
      <c r="E14" s="42" t="str">
        <f t="shared" si="1"/>
        <v>Poland</v>
      </c>
      <c r="F14" s="28">
        <v>20</v>
      </c>
      <c r="G14" s="29">
        <f t="shared" si="2"/>
        <v>88</v>
      </c>
      <c r="H14" s="30">
        <f t="shared" si="3"/>
        <v>1760</v>
      </c>
      <c r="I14" s="28">
        <v>22</v>
      </c>
      <c r="J14" s="29">
        <f t="shared" si="4"/>
        <v>74</v>
      </c>
      <c r="K14" s="30">
        <f t="shared" si="5"/>
        <v>1628</v>
      </c>
      <c r="L14" s="28">
        <v>10</v>
      </c>
      <c r="M14" s="29">
        <f t="shared" si="6"/>
        <v>55</v>
      </c>
      <c r="N14" s="30">
        <f t="shared" si="7"/>
        <v>550</v>
      </c>
      <c r="O14" s="28">
        <v>25</v>
      </c>
      <c r="P14" s="29">
        <f t="shared" si="8"/>
        <v>39</v>
      </c>
      <c r="Q14" s="30">
        <f t="shared" si="9"/>
        <v>975</v>
      </c>
      <c r="R14" s="31">
        <f t="shared" si="10"/>
        <v>77</v>
      </c>
      <c r="S14" s="32">
        <f t="shared" si="11"/>
        <v>4913</v>
      </c>
      <c r="T14" s="33" t="str">
        <f t="shared" si="12"/>
        <v/>
      </c>
    </row>
    <row r="15" spans="2:20" s="34" customFormat="1" x14ac:dyDescent="0.3">
      <c r="B15" s="14" t="s">
        <v>173</v>
      </c>
      <c r="C15" s="19" t="s">
        <v>9</v>
      </c>
      <c r="D15" s="42" t="str">
        <f t="shared" ref="D15:D34" si="13">IFERROR(IF(VLOOKUP(C15,PartnerN°Ref,2,FALSE)=0,"",VLOOKUP(C15,PartnerN°Ref,2,FALSE)),"")</f>
        <v>University of California</v>
      </c>
      <c r="E15" s="42" t="str">
        <f t="shared" ref="E15:E34" si="14">IFERROR(IF(OR(VLOOKUP(C15,PartnerN°Ref,4,FALSE)="Country not found",VLOOKUP(C15,PartnerN°Ref,3,FALSE)=0),"",VLOOKUP(C15,PartnerN°Ref,3,FALSE)),"")</f>
        <v>Spain</v>
      </c>
      <c r="F15" s="28">
        <v>50</v>
      </c>
      <c r="G15" s="29">
        <f t="shared" ref="G15:G34" si="15">IF(T15="Error",0,INDEX(Rates,MATCH(E15,CountryALL,0),MATCH($F$11,Category,0)))</f>
        <v>164</v>
      </c>
      <c r="H15" s="30">
        <f t="shared" ref="H15:H34" si="16">IFERROR(IF(T15="Error",0,ROUND(F15*G15,2)),0)</f>
        <v>8200</v>
      </c>
      <c r="I15" s="28">
        <v>18</v>
      </c>
      <c r="J15" s="29">
        <f t="shared" ref="J15:J34" si="17">IF(T15="Error",0,INDEX(Rates,MATCH(E15,CountryALL,0),MATCH($I$11,Category,0)))</f>
        <v>137</v>
      </c>
      <c r="K15" s="30">
        <f t="shared" ref="K15:K34" si="18">IFERROR(IF(T15="Error",0,ROUND(I15*J15,2)),0)</f>
        <v>2466</v>
      </c>
      <c r="L15" s="28">
        <v>52</v>
      </c>
      <c r="M15" s="29">
        <f t="shared" ref="M15:M34" si="19">IF(T15="Error",0,INDEX(Rates,MATCH(E15,CountryALL,0),MATCH($L$11,Category,0)))</f>
        <v>102</v>
      </c>
      <c r="N15" s="30">
        <f t="shared" ref="N15:N34" si="20">IFERROR(IF(T15="Error",0,ROUND(L15*M15,2)),0)</f>
        <v>5304</v>
      </c>
      <c r="O15" s="28">
        <v>42</v>
      </c>
      <c r="P15" s="29">
        <f t="shared" ref="P15:P34" si="21">IF(T15="Error",0,INDEX(Rates,MATCH(E15,CountryALL,0),MATCH($O$11,Category,0)))</f>
        <v>78</v>
      </c>
      <c r="Q15" s="30">
        <f t="shared" ref="Q15:Q34" si="22">IFERROR(IF(T15="Error",0,ROUND(O15*P15,2)),0)</f>
        <v>3276</v>
      </c>
      <c r="R15" s="31">
        <f t="shared" ref="R15:R34" si="23">IF(T15="Error",0,F15+I15+L15+O15)</f>
        <v>162</v>
      </c>
      <c r="S15" s="32">
        <f t="shared" ref="S15:S34" si="24">IF(T15="Error",0,H15+K15+N15+Q15)</f>
        <v>19246</v>
      </c>
      <c r="T15" s="33" t="str">
        <f t="shared" ref="T15:T34"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173</v>
      </c>
      <c r="C16" s="19" t="s">
        <v>10</v>
      </c>
      <c r="D16" s="42" t="str">
        <f t="shared" si="13"/>
        <v>Cairo University</v>
      </c>
      <c r="E16" s="42" t="str">
        <f t="shared" si="14"/>
        <v>Egypt</v>
      </c>
      <c r="F16" s="28">
        <v>35</v>
      </c>
      <c r="G16" s="29">
        <f t="shared" si="15"/>
        <v>47</v>
      </c>
      <c r="H16" s="30">
        <f t="shared" si="16"/>
        <v>1645</v>
      </c>
      <c r="I16" s="28">
        <v>22</v>
      </c>
      <c r="J16" s="29">
        <f t="shared" si="17"/>
        <v>33</v>
      </c>
      <c r="K16" s="30">
        <f t="shared" si="18"/>
        <v>726</v>
      </c>
      <c r="L16" s="28">
        <v>25</v>
      </c>
      <c r="M16" s="29">
        <f t="shared" si="19"/>
        <v>22</v>
      </c>
      <c r="N16" s="30">
        <f t="shared" si="20"/>
        <v>550</v>
      </c>
      <c r="O16" s="28">
        <v>20</v>
      </c>
      <c r="P16" s="29">
        <f t="shared" si="21"/>
        <v>17</v>
      </c>
      <c r="Q16" s="30">
        <f t="shared" si="22"/>
        <v>340</v>
      </c>
      <c r="R16" s="31">
        <f t="shared" si="23"/>
        <v>102</v>
      </c>
      <c r="S16" s="32">
        <f t="shared" si="24"/>
        <v>3261</v>
      </c>
      <c r="T16" s="33" t="str">
        <f t="shared" si="25"/>
        <v/>
      </c>
    </row>
    <row r="17" spans="2:20" s="34" customFormat="1" x14ac:dyDescent="0.3">
      <c r="B17" s="14" t="s">
        <v>173</v>
      </c>
      <c r="C17" s="19" t="s">
        <v>11</v>
      </c>
      <c r="D17" s="42" t="str">
        <f t="shared" si="13"/>
        <v>Unversity of Belgrade</v>
      </c>
      <c r="E17" s="42" t="str">
        <f t="shared" si="14"/>
        <v>Serbia</v>
      </c>
      <c r="F17" s="28">
        <v>19</v>
      </c>
      <c r="G17" s="29">
        <f t="shared" si="15"/>
        <v>88</v>
      </c>
      <c r="H17" s="30">
        <f t="shared" si="16"/>
        <v>1672</v>
      </c>
      <c r="I17" s="28">
        <v>5</v>
      </c>
      <c r="J17" s="29">
        <f t="shared" si="17"/>
        <v>74</v>
      </c>
      <c r="K17" s="30">
        <f t="shared" si="18"/>
        <v>370</v>
      </c>
      <c r="L17" s="28">
        <v>16</v>
      </c>
      <c r="M17" s="29">
        <f t="shared" si="19"/>
        <v>55</v>
      </c>
      <c r="N17" s="30">
        <f t="shared" si="20"/>
        <v>880</v>
      </c>
      <c r="O17" s="28">
        <v>25</v>
      </c>
      <c r="P17" s="29">
        <f t="shared" si="21"/>
        <v>39</v>
      </c>
      <c r="Q17" s="30">
        <f t="shared" si="22"/>
        <v>975</v>
      </c>
      <c r="R17" s="31">
        <f t="shared" si="23"/>
        <v>65</v>
      </c>
      <c r="S17" s="32">
        <f t="shared" si="24"/>
        <v>3897</v>
      </c>
      <c r="T17" s="33" t="str">
        <f t="shared" si="25"/>
        <v/>
      </c>
    </row>
    <row r="18" spans="2:20" s="34" customFormat="1" x14ac:dyDescent="0.3">
      <c r="B18" s="14" t="s">
        <v>173</v>
      </c>
      <c r="C18" s="19" t="s">
        <v>12</v>
      </c>
      <c r="D18" s="42" t="str">
        <f t="shared" si="13"/>
        <v>Rescue animals of North Africa</v>
      </c>
      <c r="E18" s="42" t="str">
        <f t="shared" si="14"/>
        <v>Tunisia</v>
      </c>
      <c r="F18" s="28">
        <v>36</v>
      </c>
      <c r="G18" s="29">
        <f t="shared" si="15"/>
        <v>47</v>
      </c>
      <c r="H18" s="30">
        <f t="shared" si="16"/>
        <v>1692</v>
      </c>
      <c r="I18" s="28">
        <v>32</v>
      </c>
      <c r="J18" s="29">
        <f t="shared" si="17"/>
        <v>33</v>
      </c>
      <c r="K18" s="30">
        <f t="shared" si="18"/>
        <v>1056</v>
      </c>
      <c r="L18" s="28">
        <v>30</v>
      </c>
      <c r="M18" s="29">
        <f t="shared" si="19"/>
        <v>22</v>
      </c>
      <c r="N18" s="30">
        <f t="shared" si="20"/>
        <v>660</v>
      </c>
      <c r="O18" s="28">
        <v>14</v>
      </c>
      <c r="P18" s="29">
        <f t="shared" si="21"/>
        <v>17</v>
      </c>
      <c r="Q18" s="30">
        <f t="shared" si="22"/>
        <v>238</v>
      </c>
      <c r="R18" s="31">
        <f t="shared" si="23"/>
        <v>112</v>
      </c>
      <c r="S18" s="32">
        <f t="shared" si="24"/>
        <v>3646</v>
      </c>
      <c r="T18" s="33" t="str">
        <f t="shared" si="25"/>
        <v/>
      </c>
    </row>
    <row r="19" spans="2:20" s="34" customFormat="1" x14ac:dyDescent="0.3">
      <c r="B19" s="14" t="s">
        <v>172</v>
      </c>
      <c r="C19" s="19" t="s">
        <v>8</v>
      </c>
      <c r="D19" s="42" t="str">
        <f t="shared" si="13"/>
        <v>SPCA Straż Zwierzat Polska</v>
      </c>
      <c r="E19" s="42" t="str">
        <f t="shared" si="14"/>
        <v>Poland</v>
      </c>
      <c r="F19" s="28">
        <v>41</v>
      </c>
      <c r="G19" s="29">
        <f t="shared" si="15"/>
        <v>88</v>
      </c>
      <c r="H19" s="30">
        <f t="shared" si="16"/>
        <v>3608</v>
      </c>
      <c r="I19" s="28">
        <v>20</v>
      </c>
      <c r="J19" s="29">
        <f t="shared" si="17"/>
        <v>74</v>
      </c>
      <c r="K19" s="30">
        <f t="shared" si="18"/>
        <v>1480</v>
      </c>
      <c r="L19" s="28">
        <v>13</v>
      </c>
      <c r="M19" s="29">
        <f t="shared" si="19"/>
        <v>55</v>
      </c>
      <c r="N19" s="30">
        <f t="shared" si="20"/>
        <v>715</v>
      </c>
      <c r="O19" s="28">
        <v>16</v>
      </c>
      <c r="P19" s="29">
        <f t="shared" si="21"/>
        <v>39</v>
      </c>
      <c r="Q19" s="30">
        <f t="shared" si="22"/>
        <v>624</v>
      </c>
      <c r="R19" s="31">
        <f t="shared" si="23"/>
        <v>90</v>
      </c>
      <c r="S19" s="32">
        <f t="shared" si="24"/>
        <v>6427</v>
      </c>
      <c r="T19" s="33" t="str">
        <f t="shared" si="25"/>
        <v/>
      </c>
    </row>
    <row r="20" spans="2:20" s="34" customFormat="1" x14ac:dyDescent="0.3">
      <c r="B20" s="14" t="s">
        <v>172</v>
      </c>
      <c r="C20" s="19" t="s">
        <v>9</v>
      </c>
      <c r="D20" s="42" t="str">
        <f t="shared" si="13"/>
        <v>University of California</v>
      </c>
      <c r="E20" s="42" t="str">
        <f t="shared" si="14"/>
        <v>Spain</v>
      </c>
      <c r="F20" s="28">
        <v>30</v>
      </c>
      <c r="G20" s="29">
        <f t="shared" si="15"/>
        <v>164</v>
      </c>
      <c r="H20" s="30">
        <f t="shared" si="16"/>
        <v>4920</v>
      </c>
      <c r="I20" s="28">
        <v>55</v>
      </c>
      <c r="J20" s="29">
        <f t="shared" si="17"/>
        <v>137</v>
      </c>
      <c r="K20" s="30">
        <f t="shared" si="18"/>
        <v>7535</v>
      </c>
      <c r="L20" s="28">
        <v>20</v>
      </c>
      <c r="M20" s="29">
        <f t="shared" si="19"/>
        <v>102</v>
      </c>
      <c r="N20" s="30">
        <f t="shared" si="20"/>
        <v>2040</v>
      </c>
      <c r="O20" s="28">
        <v>35</v>
      </c>
      <c r="P20" s="29">
        <f t="shared" si="21"/>
        <v>78</v>
      </c>
      <c r="Q20" s="30">
        <f t="shared" si="22"/>
        <v>2730</v>
      </c>
      <c r="R20" s="31">
        <f t="shared" si="23"/>
        <v>140</v>
      </c>
      <c r="S20" s="32">
        <f t="shared" si="24"/>
        <v>17225</v>
      </c>
      <c r="T20" s="33" t="str">
        <f t="shared" si="25"/>
        <v/>
      </c>
    </row>
    <row r="21" spans="2:20" s="34" customFormat="1" x14ac:dyDescent="0.3">
      <c r="B21" s="14" t="s">
        <v>172</v>
      </c>
      <c r="C21" s="19" t="s">
        <v>10</v>
      </c>
      <c r="D21" s="42" t="str">
        <f t="shared" si="13"/>
        <v>Cairo University</v>
      </c>
      <c r="E21" s="42" t="str">
        <f t="shared" si="14"/>
        <v>Egypt</v>
      </c>
      <c r="F21" s="28">
        <v>153</v>
      </c>
      <c r="G21" s="29">
        <f t="shared" si="15"/>
        <v>47</v>
      </c>
      <c r="H21" s="30">
        <f t="shared" si="16"/>
        <v>7191</v>
      </c>
      <c r="I21" s="28">
        <v>47</v>
      </c>
      <c r="J21" s="29">
        <f t="shared" si="17"/>
        <v>33</v>
      </c>
      <c r="K21" s="30">
        <f t="shared" si="18"/>
        <v>1551</v>
      </c>
      <c r="L21" s="28">
        <v>33</v>
      </c>
      <c r="M21" s="29">
        <f t="shared" si="19"/>
        <v>22</v>
      </c>
      <c r="N21" s="30">
        <f t="shared" si="20"/>
        <v>726</v>
      </c>
      <c r="O21" s="28">
        <v>16</v>
      </c>
      <c r="P21" s="29">
        <f t="shared" si="21"/>
        <v>17</v>
      </c>
      <c r="Q21" s="30">
        <f t="shared" si="22"/>
        <v>272</v>
      </c>
      <c r="R21" s="31">
        <f t="shared" si="23"/>
        <v>249</v>
      </c>
      <c r="S21" s="32">
        <f t="shared" si="24"/>
        <v>9740</v>
      </c>
      <c r="T21" s="33" t="str">
        <f t="shared" si="25"/>
        <v/>
      </c>
    </row>
    <row r="22" spans="2:20" s="34" customFormat="1" x14ac:dyDescent="0.3">
      <c r="B22" s="14" t="s">
        <v>172</v>
      </c>
      <c r="C22" s="19" t="s">
        <v>11</v>
      </c>
      <c r="D22" s="42" t="str">
        <f t="shared" si="13"/>
        <v>Unversity of Belgrade</v>
      </c>
      <c r="E22" s="42" t="str">
        <f t="shared" si="14"/>
        <v>Serbia</v>
      </c>
      <c r="F22" s="28">
        <v>50</v>
      </c>
      <c r="G22" s="29">
        <f t="shared" si="15"/>
        <v>88</v>
      </c>
      <c r="H22" s="30">
        <f t="shared" si="16"/>
        <v>4400</v>
      </c>
      <c r="I22" s="28">
        <v>30</v>
      </c>
      <c r="J22" s="29">
        <f t="shared" si="17"/>
        <v>74</v>
      </c>
      <c r="K22" s="30">
        <f t="shared" si="18"/>
        <v>2220</v>
      </c>
      <c r="L22" s="28">
        <v>47</v>
      </c>
      <c r="M22" s="29">
        <f t="shared" si="19"/>
        <v>55</v>
      </c>
      <c r="N22" s="30">
        <f t="shared" si="20"/>
        <v>2585</v>
      </c>
      <c r="O22" s="28">
        <v>24</v>
      </c>
      <c r="P22" s="29">
        <f t="shared" si="21"/>
        <v>39</v>
      </c>
      <c r="Q22" s="30">
        <f t="shared" si="22"/>
        <v>936</v>
      </c>
      <c r="R22" s="31">
        <f t="shared" si="23"/>
        <v>151</v>
      </c>
      <c r="S22" s="32">
        <f t="shared" si="24"/>
        <v>10141</v>
      </c>
      <c r="T22" s="33" t="str">
        <f t="shared" si="25"/>
        <v/>
      </c>
    </row>
    <row r="23" spans="2:20" s="34" customFormat="1" x14ac:dyDescent="0.3">
      <c r="B23" s="14" t="s">
        <v>172</v>
      </c>
      <c r="C23" s="19" t="s">
        <v>12</v>
      </c>
      <c r="D23" s="42" t="str">
        <f t="shared" si="13"/>
        <v>Rescue animals of North Africa</v>
      </c>
      <c r="E23" s="42" t="str">
        <f t="shared" si="14"/>
        <v>Tunisia</v>
      </c>
      <c r="F23" s="28">
        <v>62</v>
      </c>
      <c r="G23" s="29">
        <f t="shared" si="15"/>
        <v>47</v>
      </c>
      <c r="H23" s="30">
        <f t="shared" si="16"/>
        <v>2914</v>
      </c>
      <c r="I23" s="28">
        <v>25</v>
      </c>
      <c r="J23" s="29">
        <f t="shared" si="17"/>
        <v>33</v>
      </c>
      <c r="K23" s="30">
        <f t="shared" si="18"/>
        <v>825</v>
      </c>
      <c r="L23" s="28">
        <v>24</v>
      </c>
      <c r="M23" s="29">
        <f t="shared" si="19"/>
        <v>22</v>
      </c>
      <c r="N23" s="30">
        <f t="shared" si="20"/>
        <v>528</v>
      </c>
      <c r="O23" s="28">
        <v>12</v>
      </c>
      <c r="P23" s="29">
        <f t="shared" si="21"/>
        <v>17</v>
      </c>
      <c r="Q23" s="30">
        <f t="shared" si="22"/>
        <v>204</v>
      </c>
      <c r="R23" s="31">
        <f t="shared" si="23"/>
        <v>123</v>
      </c>
      <c r="S23" s="32">
        <f t="shared" si="24"/>
        <v>4471</v>
      </c>
      <c r="T23" s="33" t="str">
        <f t="shared" si="25"/>
        <v/>
      </c>
    </row>
    <row r="24" spans="2:20" s="34" customFormat="1" x14ac:dyDescent="0.3">
      <c r="B24" s="14" t="s">
        <v>318</v>
      </c>
      <c r="C24" s="19" t="s">
        <v>8</v>
      </c>
      <c r="D24" s="42" t="str">
        <f t="shared" si="13"/>
        <v>SPCA Straż Zwierzat Polska</v>
      </c>
      <c r="E24" s="42" t="str">
        <f t="shared" si="14"/>
        <v>Poland</v>
      </c>
      <c r="F24" s="28">
        <v>52</v>
      </c>
      <c r="G24" s="29">
        <f t="shared" si="15"/>
        <v>88</v>
      </c>
      <c r="H24" s="30">
        <f t="shared" si="16"/>
        <v>4576</v>
      </c>
      <c r="I24" s="28">
        <v>127</v>
      </c>
      <c r="J24" s="29">
        <f t="shared" si="17"/>
        <v>74</v>
      </c>
      <c r="K24" s="30">
        <f t="shared" si="18"/>
        <v>9398</v>
      </c>
      <c r="L24" s="28">
        <v>15</v>
      </c>
      <c r="M24" s="29">
        <f t="shared" si="19"/>
        <v>55</v>
      </c>
      <c r="N24" s="30">
        <f t="shared" si="20"/>
        <v>825</v>
      </c>
      <c r="O24" s="28">
        <v>20</v>
      </c>
      <c r="P24" s="29">
        <f t="shared" si="21"/>
        <v>39</v>
      </c>
      <c r="Q24" s="30">
        <f t="shared" si="22"/>
        <v>780</v>
      </c>
      <c r="R24" s="31">
        <f t="shared" si="23"/>
        <v>214</v>
      </c>
      <c r="S24" s="32">
        <f t="shared" si="24"/>
        <v>15579</v>
      </c>
      <c r="T24" s="33" t="str">
        <f t="shared" si="25"/>
        <v/>
      </c>
    </row>
    <row r="25" spans="2:20" s="34" customFormat="1" x14ac:dyDescent="0.3">
      <c r="B25" s="14" t="s">
        <v>318</v>
      </c>
      <c r="C25" s="19" t="s">
        <v>9</v>
      </c>
      <c r="D25" s="42" t="str">
        <f t="shared" si="13"/>
        <v>University of California</v>
      </c>
      <c r="E25" s="42" t="str">
        <f t="shared" si="14"/>
        <v>Spain</v>
      </c>
      <c r="F25" s="28">
        <v>58</v>
      </c>
      <c r="G25" s="29">
        <f t="shared" si="15"/>
        <v>164</v>
      </c>
      <c r="H25" s="30">
        <f t="shared" si="16"/>
        <v>9512</v>
      </c>
      <c r="I25" s="28">
        <v>32</v>
      </c>
      <c r="J25" s="29">
        <f t="shared" si="17"/>
        <v>137</v>
      </c>
      <c r="K25" s="30">
        <f t="shared" si="18"/>
        <v>4384</v>
      </c>
      <c r="L25" s="28">
        <v>19</v>
      </c>
      <c r="M25" s="29">
        <f t="shared" si="19"/>
        <v>102</v>
      </c>
      <c r="N25" s="30">
        <f t="shared" si="20"/>
        <v>1938</v>
      </c>
      <c r="O25" s="28">
        <v>40</v>
      </c>
      <c r="P25" s="29">
        <f t="shared" si="21"/>
        <v>78</v>
      </c>
      <c r="Q25" s="30">
        <f t="shared" si="22"/>
        <v>3120</v>
      </c>
      <c r="R25" s="31">
        <f t="shared" si="23"/>
        <v>149</v>
      </c>
      <c r="S25" s="32">
        <f t="shared" si="24"/>
        <v>18954</v>
      </c>
      <c r="T25" s="33" t="str">
        <f t="shared" si="25"/>
        <v/>
      </c>
    </row>
    <row r="26" spans="2:20" s="34" customFormat="1" x14ac:dyDescent="0.3">
      <c r="B26" s="14" t="s">
        <v>318</v>
      </c>
      <c r="C26" s="19" t="s">
        <v>10</v>
      </c>
      <c r="D26" s="42" t="str">
        <f t="shared" si="13"/>
        <v>Cairo University</v>
      </c>
      <c r="E26" s="42" t="str">
        <f t="shared" si="14"/>
        <v>Egypt</v>
      </c>
      <c r="F26" s="28">
        <v>48</v>
      </c>
      <c r="G26" s="29">
        <f t="shared" si="15"/>
        <v>47</v>
      </c>
      <c r="H26" s="30">
        <f t="shared" si="16"/>
        <v>2256</v>
      </c>
      <c r="I26" s="28">
        <v>5</v>
      </c>
      <c r="J26" s="29">
        <f t="shared" si="17"/>
        <v>33</v>
      </c>
      <c r="K26" s="30">
        <f t="shared" si="18"/>
        <v>165</v>
      </c>
      <c r="L26" s="28">
        <v>25</v>
      </c>
      <c r="M26" s="29">
        <f t="shared" si="19"/>
        <v>22</v>
      </c>
      <c r="N26" s="30">
        <f t="shared" si="20"/>
        <v>550</v>
      </c>
      <c r="O26" s="28">
        <v>69</v>
      </c>
      <c r="P26" s="29">
        <f t="shared" si="21"/>
        <v>17</v>
      </c>
      <c r="Q26" s="30">
        <f t="shared" si="22"/>
        <v>1173</v>
      </c>
      <c r="R26" s="31">
        <f t="shared" si="23"/>
        <v>147</v>
      </c>
      <c r="S26" s="32">
        <f t="shared" si="24"/>
        <v>4144</v>
      </c>
      <c r="T26" s="33" t="str">
        <f t="shared" si="25"/>
        <v/>
      </c>
    </row>
    <row r="27" spans="2:20" s="34" customFormat="1" x14ac:dyDescent="0.3">
      <c r="B27" s="14" t="s">
        <v>318</v>
      </c>
      <c r="C27" s="19" t="s">
        <v>11</v>
      </c>
      <c r="D27" s="42" t="str">
        <f t="shared" si="13"/>
        <v>Unversity of Belgrade</v>
      </c>
      <c r="E27" s="42" t="str">
        <f t="shared" si="14"/>
        <v>Serbia</v>
      </c>
      <c r="F27" s="28">
        <v>68</v>
      </c>
      <c r="G27" s="29">
        <f t="shared" si="15"/>
        <v>88</v>
      </c>
      <c r="H27" s="30">
        <f t="shared" si="16"/>
        <v>5984</v>
      </c>
      <c r="I27" s="28">
        <v>19</v>
      </c>
      <c r="J27" s="29">
        <f t="shared" si="17"/>
        <v>74</v>
      </c>
      <c r="K27" s="30">
        <f t="shared" si="18"/>
        <v>1406</v>
      </c>
      <c r="L27" s="28">
        <v>29</v>
      </c>
      <c r="M27" s="29">
        <f t="shared" si="19"/>
        <v>55</v>
      </c>
      <c r="N27" s="30">
        <f t="shared" si="20"/>
        <v>1595</v>
      </c>
      <c r="O27" s="28">
        <v>100</v>
      </c>
      <c r="P27" s="29">
        <f t="shared" si="21"/>
        <v>39</v>
      </c>
      <c r="Q27" s="30">
        <f t="shared" si="22"/>
        <v>3900</v>
      </c>
      <c r="R27" s="31">
        <f t="shared" si="23"/>
        <v>216</v>
      </c>
      <c r="S27" s="32">
        <f t="shared" si="24"/>
        <v>12885</v>
      </c>
      <c r="T27" s="33" t="str">
        <f t="shared" si="25"/>
        <v/>
      </c>
    </row>
    <row r="28" spans="2:20" s="34" customFormat="1" x14ac:dyDescent="0.3">
      <c r="B28" s="14" t="s">
        <v>318</v>
      </c>
      <c r="C28" s="19" t="s">
        <v>12</v>
      </c>
      <c r="D28" s="42" t="str">
        <f t="shared" si="13"/>
        <v>Rescue animals of North Africa</v>
      </c>
      <c r="E28" s="42" t="str">
        <f t="shared" si="14"/>
        <v>Tunisia</v>
      </c>
      <c r="F28" s="28">
        <v>80</v>
      </c>
      <c r="G28" s="29">
        <f t="shared" si="15"/>
        <v>47</v>
      </c>
      <c r="H28" s="30">
        <f t="shared" si="16"/>
        <v>3760</v>
      </c>
      <c r="I28" s="28">
        <v>26</v>
      </c>
      <c r="J28" s="29">
        <f t="shared" si="17"/>
        <v>33</v>
      </c>
      <c r="K28" s="30">
        <f t="shared" si="18"/>
        <v>858</v>
      </c>
      <c r="L28" s="28">
        <v>130</v>
      </c>
      <c r="M28" s="29">
        <f t="shared" si="19"/>
        <v>22</v>
      </c>
      <c r="N28" s="30">
        <f t="shared" si="20"/>
        <v>2860</v>
      </c>
      <c r="O28" s="28">
        <v>25</v>
      </c>
      <c r="P28" s="29">
        <f t="shared" si="21"/>
        <v>17</v>
      </c>
      <c r="Q28" s="30">
        <f t="shared" si="22"/>
        <v>425</v>
      </c>
      <c r="R28" s="31">
        <f t="shared" si="23"/>
        <v>261</v>
      </c>
      <c r="S28" s="32">
        <f t="shared" si="24"/>
        <v>7903</v>
      </c>
      <c r="T28" s="33" t="str">
        <f t="shared" si="25"/>
        <v/>
      </c>
    </row>
    <row r="29" spans="2:20" s="34" customFormat="1" x14ac:dyDescent="0.3">
      <c r="B29" s="14" t="s">
        <v>174</v>
      </c>
      <c r="C29" s="19" t="s">
        <v>8</v>
      </c>
      <c r="D29" s="42" t="str">
        <f t="shared" si="13"/>
        <v>SPCA Straż Zwierzat Polska</v>
      </c>
      <c r="E29" s="42" t="str">
        <f t="shared" si="14"/>
        <v>Poland</v>
      </c>
      <c r="F29" s="28">
        <v>120</v>
      </c>
      <c r="G29" s="29">
        <f t="shared" si="15"/>
        <v>88</v>
      </c>
      <c r="H29" s="30">
        <f t="shared" si="16"/>
        <v>10560</v>
      </c>
      <c r="I29" s="28">
        <v>30</v>
      </c>
      <c r="J29" s="29">
        <f t="shared" si="17"/>
        <v>74</v>
      </c>
      <c r="K29" s="30">
        <f t="shared" si="18"/>
        <v>2220</v>
      </c>
      <c r="L29" s="28">
        <v>30</v>
      </c>
      <c r="M29" s="29">
        <f t="shared" si="19"/>
        <v>55</v>
      </c>
      <c r="N29" s="30">
        <f t="shared" si="20"/>
        <v>1650</v>
      </c>
      <c r="O29" s="28">
        <v>31</v>
      </c>
      <c r="P29" s="29">
        <f t="shared" si="21"/>
        <v>39</v>
      </c>
      <c r="Q29" s="30">
        <f t="shared" si="22"/>
        <v>1209</v>
      </c>
      <c r="R29" s="31">
        <f t="shared" si="23"/>
        <v>211</v>
      </c>
      <c r="S29" s="32">
        <f t="shared" si="24"/>
        <v>15639</v>
      </c>
      <c r="T29" s="33" t="str">
        <f t="shared" si="25"/>
        <v/>
      </c>
    </row>
    <row r="30" spans="2:20" s="34" customFormat="1" x14ac:dyDescent="0.3">
      <c r="B30" s="14" t="s">
        <v>174</v>
      </c>
      <c r="C30" s="19" t="s">
        <v>9</v>
      </c>
      <c r="D30" s="42" t="str">
        <f t="shared" si="13"/>
        <v>University of California</v>
      </c>
      <c r="E30" s="42" t="str">
        <f t="shared" si="14"/>
        <v>Spain</v>
      </c>
      <c r="F30" s="28">
        <v>40</v>
      </c>
      <c r="G30" s="29">
        <f t="shared" si="15"/>
        <v>164</v>
      </c>
      <c r="H30" s="30">
        <f t="shared" si="16"/>
        <v>6560</v>
      </c>
      <c r="I30" s="28">
        <v>37</v>
      </c>
      <c r="J30" s="29">
        <f t="shared" si="17"/>
        <v>137</v>
      </c>
      <c r="K30" s="30">
        <f t="shared" si="18"/>
        <v>5069</v>
      </c>
      <c r="L30" s="28">
        <v>100</v>
      </c>
      <c r="M30" s="29">
        <f t="shared" si="19"/>
        <v>102</v>
      </c>
      <c r="N30" s="30">
        <f t="shared" si="20"/>
        <v>10200</v>
      </c>
      <c r="O30" s="28">
        <v>39</v>
      </c>
      <c r="P30" s="29">
        <f t="shared" si="21"/>
        <v>78</v>
      </c>
      <c r="Q30" s="30">
        <f t="shared" si="22"/>
        <v>3042</v>
      </c>
      <c r="R30" s="31">
        <f t="shared" si="23"/>
        <v>216</v>
      </c>
      <c r="S30" s="32">
        <f t="shared" si="24"/>
        <v>24871</v>
      </c>
      <c r="T30" s="33" t="str">
        <f t="shared" si="25"/>
        <v/>
      </c>
    </row>
    <row r="31" spans="2:20" s="34" customFormat="1" x14ac:dyDescent="0.3">
      <c r="B31" s="14" t="s">
        <v>174</v>
      </c>
      <c r="C31" s="19" t="s">
        <v>10</v>
      </c>
      <c r="D31" s="42" t="str">
        <f t="shared" si="13"/>
        <v>Cairo University</v>
      </c>
      <c r="E31" s="42" t="str">
        <f t="shared" si="14"/>
        <v>Egypt</v>
      </c>
      <c r="F31" s="28">
        <v>61</v>
      </c>
      <c r="G31" s="29">
        <f t="shared" si="15"/>
        <v>47</v>
      </c>
      <c r="H31" s="30">
        <f t="shared" si="16"/>
        <v>2867</v>
      </c>
      <c r="I31" s="28">
        <v>45</v>
      </c>
      <c r="J31" s="29">
        <f t="shared" si="17"/>
        <v>33</v>
      </c>
      <c r="K31" s="30">
        <f t="shared" si="18"/>
        <v>1485</v>
      </c>
      <c r="L31" s="28">
        <v>20</v>
      </c>
      <c r="M31" s="29">
        <f t="shared" si="19"/>
        <v>22</v>
      </c>
      <c r="N31" s="30">
        <f t="shared" si="20"/>
        <v>440</v>
      </c>
      <c r="O31" s="28">
        <v>169</v>
      </c>
      <c r="P31" s="29">
        <f t="shared" si="21"/>
        <v>17</v>
      </c>
      <c r="Q31" s="30">
        <f t="shared" si="22"/>
        <v>2873</v>
      </c>
      <c r="R31" s="31">
        <f t="shared" si="23"/>
        <v>295</v>
      </c>
      <c r="S31" s="32">
        <f t="shared" si="24"/>
        <v>7665</v>
      </c>
      <c r="T31" s="33" t="str">
        <f t="shared" si="25"/>
        <v/>
      </c>
    </row>
    <row r="32" spans="2:20" s="34" customFormat="1" x14ac:dyDescent="0.3">
      <c r="B32" s="14" t="s">
        <v>174</v>
      </c>
      <c r="C32" s="19" t="s">
        <v>11</v>
      </c>
      <c r="D32" s="42" t="str">
        <f t="shared" si="13"/>
        <v>Unversity of Belgrade</v>
      </c>
      <c r="E32" s="42" t="str">
        <f t="shared" si="14"/>
        <v>Serbia</v>
      </c>
      <c r="F32" s="28">
        <v>69</v>
      </c>
      <c r="G32" s="29">
        <f t="shared" si="15"/>
        <v>88</v>
      </c>
      <c r="H32" s="30">
        <f t="shared" si="16"/>
        <v>6072</v>
      </c>
      <c r="I32" s="28">
        <v>21</v>
      </c>
      <c r="J32" s="29">
        <f t="shared" si="17"/>
        <v>74</v>
      </c>
      <c r="K32" s="30">
        <f t="shared" si="18"/>
        <v>1554</v>
      </c>
      <c r="L32" s="28">
        <v>29</v>
      </c>
      <c r="M32" s="29">
        <f t="shared" si="19"/>
        <v>55</v>
      </c>
      <c r="N32" s="30">
        <f t="shared" si="20"/>
        <v>1595</v>
      </c>
      <c r="O32" s="28">
        <v>45</v>
      </c>
      <c r="P32" s="29">
        <f t="shared" si="21"/>
        <v>39</v>
      </c>
      <c r="Q32" s="30">
        <f t="shared" si="22"/>
        <v>1755</v>
      </c>
      <c r="R32" s="31">
        <f t="shared" si="23"/>
        <v>164</v>
      </c>
      <c r="S32" s="32">
        <f t="shared" si="24"/>
        <v>10976</v>
      </c>
      <c r="T32" s="33" t="str">
        <f t="shared" si="25"/>
        <v/>
      </c>
    </row>
    <row r="33" spans="2:20" s="34" customFormat="1" x14ac:dyDescent="0.3">
      <c r="B33" s="14" t="s">
        <v>174</v>
      </c>
      <c r="C33" s="19" t="s">
        <v>12</v>
      </c>
      <c r="D33" s="42" t="str">
        <f t="shared" si="13"/>
        <v>Rescue animals of North Africa</v>
      </c>
      <c r="E33" s="42" t="str">
        <f t="shared" si="14"/>
        <v>Tunisia</v>
      </c>
      <c r="F33" s="28">
        <v>72</v>
      </c>
      <c r="G33" s="29">
        <f t="shared" si="15"/>
        <v>47</v>
      </c>
      <c r="H33" s="30">
        <f t="shared" si="16"/>
        <v>3384</v>
      </c>
      <c r="I33" s="28">
        <v>82</v>
      </c>
      <c r="J33" s="29">
        <f t="shared" si="17"/>
        <v>33</v>
      </c>
      <c r="K33" s="30">
        <f t="shared" si="18"/>
        <v>2706</v>
      </c>
      <c r="L33" s="28">
        <v>5</v>
      </c>
      <c r="M33" s="29">
        <f t="shared" si="19"/>
        <v>22</v>
      </c>
      <c r="N33" s="30">
        <f t="shared" si="20"/>
        <v>110</v>
      </c>
      <c r="O33" s="28">
        <v>28</v>
      </c>
      <c r="P33" s="29">
        <f t="shared" si="21"/>
        <v>17</v>
      </c>
      <c r="Q33" s="30">
        <f t="shared" si="22"/>
        <v>476</v>
      </c>
      <c r="R33" s="31">
        <f t="shared" si="23"/>
        <v>187</v>
      </c>
      <c r="S33" s="32">
        <f t="shared" si="24"/>
        <v>6676</v>
      </c>
      <c r="T33" s="33" t="str">
        <f t="shared" si="25"/>
        <v/>
      </c>
    </row>
    <row r="34" spans="2:20" s="34" customFormat="1" x14ac:dyDescent="0.3">
      <c r="B34" s="14" t="s">
        <v>319</v>
      </c>
      <c r="C34" s="19" t="s">
        <v>11</v>
      </c>
      <c r="D34" s="42" t="str">
        <f t="shared" si="13"/>
        <v>Unversity of Belgrade</v>
      </c>
      <c r="E34" s="42" t="str">
        <f t="shared" si="14"/>
        <v>Serbia</v>
      </c>
      <c r="F34" s="28">
        <v>30</v>
      </c>
      <c r="G34" s="29">
        <f t="shared" si="15"/>
        <v>88</v>
      </c>
      <c r="H34" s="30">
        <f t="shared" si="16"/>
        <v>2640</v>
      </c>
      <c r="I34" s="28">
        <v>36</v>
      </c>
      <c r="J34" s="29">
        <f t="shared" si="17"/>
        <v>74</v>
      </c>
      <c r="K34" s="30">
        <f t="shared" si="18"/>
        <v>2664</v>
      </c>
      <c r="L34" s="28">
        <v>28</v>
      </c>
      <c r="M34" s="29">
        <f t="shared" si="19"/>
        <v>55</v>
      </c>
      <c r="N34" s="30">
        <f t="shared" si="20"/>
        <v>1540</v>
      </c>
      <c r="O34" s="28">
        <v>40</v>
      </c>
      <c r="P34" s="29">
        <f t="shared" si="21"/>
        <v>39</v>
      </c>
      <c r="Q34" s="30">
        <f t="shared" si="22"/>
        <v>1560</v>
      </c>
      <c r="R34" s="31">
        <f t="shared" si="23"/>
        <v>134</v>
      </c>
      <c r="S34" s="32">
        <f t="shared" si="24"/>
        <v>8404</v>
      </c>
      <c r="T34" s="33" t="str">
        <f t="shared" si="25"/>
        <v/>
      </c>
    </row>
  </sheetData>
  <sheetProtection algorithmName="SHA-512" hashValue="2NHbn+hfB6ewfk0uosETkQFR5K4ylVNVaAkBDefzKsSARZQiavEwEwkmZ8MlPMLZYYZvIAVVE331vD8lKXR3yQ==" saltValue="QQyByHAhjYyxkPCi5X2Zi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34">
    <cfRule type="containsText" dxfId="235" priority="973" operator="containsText" text="Error">
      <formula>NOT(ISERROR(SEARCH("Error",T13)))</formula>
    </cfRule>
  </conditionalFormatting>
  <conditionalFormatting sqref="D13:E34">
    <cfRule type="containsBlanks" dxfId="234" priority="969">
      <formula>LEN(TRIM(D13))=0</formula>
    </cfRule>
  </conditionalFormatting>
  <conditionalFormatting sqref="F14 I14 L14 O14">
    <cfRule type="expression" dxfId="233" priority="340">
      <formula>ISNUMBER(F14)=FALSE</formula>
    </cfRule>
  </conditionalFormatting>
  <conditionalFormatting sqref="F13 I13 L13 O13">
    <cfRule type="expression" dxfId="232" priority="339">
      <formula>ISNUMBER(F13)=FALSE</formula>
    </cfRule>
  </conditionalFormatting>
  <conditionalFormatting sqref="B13:C13">
    <cfRule type="containsBlanks" dxfId="231" priority="332">
      <formula>LEN(TRIM(B13))=0</formula>
    </cfRule>
  </conditionalFormatting>
  <conditionalFormatting sqref="B14:C14">
    <cfRule type="containsBlanks" dxfId="230" priority="331">
      <formula>LEN(TRIM(B14))=0</formula>
    </cfRule>
  </conditionalFormatting>
  <conditionalFormatting sqref="F15 I15 L15 O15">
    <cfRule type="expression" dxfId="229" priority="46">
      <formula>ISNUMBER(F15)=FALSE</formula>
    </cfRule>
  </conditionalFormatting>
  <conditionalFormatting sqref="B15:C15">
    <cfRule type="containsBlanks" dxfId="228" priority="45">
      <formula>LEN(TRIM(B15))=0</formula>
    </cfRule>
  </conditionalFormatting>
  <conditionalFormatting sqref="F16 I16 L16 O16">
    <cfRule type="expression" dxfId="227" priority="44">
      <formula>ISNUMBER(F16)=FALSE</formula>
    </cfRule>
  </conditionalFormatting>
  <conditionalFormatting sqref="B16:C16">
    <cfRule type="containsBlanks" dxfId="226" priority="43">
      <formula>LEN(TRIM(B16))=0</formula>
    </cfRule>
  </conditionalFormatting>
  <conditionalFormatting sqref="F17 I17 L17 O17">
    <cfRule type="expression" dxfId="225" priority="42">
      <formula>ISNUMBER(F17)=FALSE</formula>
    </cfRule>
  </conditionalFormatting>
  <conditionalFormatting sqref="B17:C17">
    <cfRule type="containsBlanks" dxfId="224" priority="41">
      <formula>LEN(TRIM(B17))=0</formula>
    </cfRule>
  </conditionalFormatting>
  <conditionalFormatting sqref="F18 I18 L18 O18">
    <cfRule type="expression" dxfId="223" priority="40">
      <formula>ISNUMBER(F18)=FALSE</formula>
    </cfRule>
  </conditionalFormatting>
  <conditionalFormatting sqref="B18:C18">
    <cfRule type="containsBlanks" dxfId="222" priority="39">
      <formula>LEN(TRIM(B18))=0</formula>
    </cfRule>
  </conditionalFormatting>
  <conditionalFormatting sqref="F19 I19 L19 O19">
    <cfRule type="expression" dxfId="221" priority="34">
      <formula>ISNUMBER(F19)=FALSE</formula>
    </cfRule>
  </conditionalFormatting>
  <conditionalFormatting sqref="B19:C19">
    <cfRule type="containsBlanks" dxfId="220" priority="33">
      <formula>LEN(TRIM(B19))=0</formula>
    </cfRule>
  </conditionalFormatting>
  <conditionalFormatting sqref="F20 I20 L20 O20">
    <cfRule type="expression" dxfId="219" priority="32">
      <formula>ISNUMBER(F20)=FALSE</formula>
    </cfRule>
  </conditionalFormatting>
  <conditionalFormatting sqref="B20:C20">
    <cfRule type="containsBlanks" dxfId="218" priority="31">
      <formula>LEN(TRIM(B20))=0</formula>
    </cfRule>
  </conditionalFormatting>
  <conditionalFormatting sqref="F21 I21 L21 O21">
    <cfRule type="expression" dxfId="217" priority="30">
      <formula>ISNUMBER(F21)=FALSE</formula>
    </cfRule>
  </conditionalFormatting>
  <conditionalFormatting sqref="B21:C21">
    <cfRule type="containsBlanks" dxfId="216" priority="29">
      <formula>LEN(TRIM(B21))=0</formula>
    </cfRule>
  </conditionalFormatting>
  <conditionalFormatting sqref="F22 I22 L22 O22">
    <cfRule type="expression" dxfId="215" priority="28">
      <formula>ISNUMBER(F22)=FALSE</formula>
    </cfRule>
  </conditionalFormatting>
  <conditionalFormatting sqref="B22:C22">
    <cfRule type="containsBlanks" dxfId="214" priority="27">
      <formula>LEN(TRIM(B22))=0</formula>
    </cfRule>
  </conditionalFormatting>
  <conditionalFormatting sqref="F23 I23 L23 O23">
    <cfRule type="expression" dxfId="213" priority="26">
      <formula>ISNUMBER(F23)=FALSE</formula>
    </cfRule>
  </conditionalFormatting>
  <conditionalFormatting sqref="B23:C23">
    <cfRule type="containsBlanks" dxfId="212" priority="25">
      <formula>LEN(TRIM(B23))=0</formula>
    </cfRule>
  </conditionalFormatting>
  <conditionalFormatting sqref="F24 I24 L24 O24">
    <cfRule type="expression" dxfId="211" priority="24">
      <formula>ISNUMBER(F24)=FALSE</formula>
    </cfRule>
  </conditionalFormatting>
  <conditionalFormatting sqref="B24:C24">
    <cfRule type="containsBlanks" dxfId="210" priority="23">
      <formula>LEN(TRIM(B24))=0</formula>
    </cfRule>
  </conditionalFormatting>
  <conditionalFormatting sqref="F25 I25 L25 O25">
    <cfRule type="expression" dxfId="209" priority="22">
      <formula>ISNUMBER(F25)=FALSE</formula>
    </cfRule>
  </conditionalFormatting>
  <conditionalFormatting sqref="B25:C25">
    <cfRule type="containsBlanks" dxfId="208" priority="21">
      <formula>LEN(TRIM(B25))=0</formula>
    </cfRule>
  </conditionalFormatting>
  <conditionalFormatting sqref="F26 I26 L26 O26">
    <cfRule type="expression" dxfId="207" priority="20">
      <formula>ISNUMBER(F26)=FALSE</formula>
    </cfRule>
  </conditionalFormatting>
  <conditionalFormatting sqref="B26:C26">
    <cfRule type="containsBlanks" dxfId="206" priority="19">
      <formula>LEN(TRIM(B26))=0</formula>
    </cfRule>
  </conditionalFormatting>
  <conditionalFormatting sqref="F27 I27 L27 O27">
    <cfRule type="expression" dxfId="205" priority="18">
      <formula>ISNUMBER(F27)=FALSE</formula>
    </cfRule>
  </conditionalFormatting>
  <conditionalFormatting sqref="B27:C27">
    <cfRule type="containsBlanks" dxfId="204" priority="17">
      <formula>LEN(TRIM(B27))=0</formula>
    </cfRule>
  </conditionalFormatting>
  <conditionalFormatting sqref="F28 I28 L28 O28">
    <cfRule type="expression" dxfId="203" priority="16">
      <formula>ISNUMBER(F28)=FALSE</formula>
    </cfRule>
  </conditionalFormatting>
  <conditionalFormatting sqref="B28:C28">
    <cfRule type="containsBlanks" dxfId="202" priority="15">
      <formula>LEN(TRIM(B28))=0</formula>
    </cfRule>
  </conditionalFormatting>
  <conditionalFormatting sqref="F29 I29 L29 O29">
    <cfRule type="expression" dxfId="201" priority="14">
      <formula>ISNUMBER(F29)=FALSE</formula>
    </cfRule>
  </conditionalFormatting>
  <conditionalFormatting sqref="B29:C29">
    <cfRule type="containsBlanks" dxfId="200" priority="13">
      <formula>LEN(TRIM(B29))=0</formula>
    </cfRule>
  </conditionalFormatting>
  <conditionalFormatting sqref="F30 I30 L30 O30">
    <cfRule type="expression" dxfId="199" priority="12">
      <formula>ISNUMBER(F30)=FALSE</formula>
    </cfRule>
  </conditionalFormatting>
  <conditionalFormatting sqref="B30:C30">
    <cfRule type="containsBlanks" dxfId="198" priority="11">
      <formula>LEN(TRIM(B30))=0</formula>
    </cfRule>
  </conditionalFormatting>
  <conditionalFormatting sqref="F31 I31 L31 O31">
    <cfRule type="expression" dxfId="197" priority="10">
      <formula>ISNUMBER(F31)=FALSE</formula>
    </cfRule>
  </conditionalFormatting>
  <conditionalFormatting sqref="B31:C31">
    <cfRule type="containsBlanks" dxfId="196" priority="9">
      <formula>LEN(TRIM(B31))=0</formula>
    </cfRule>
  </conditionalFormatting>
  <conditionalFormatting sqref="F32 I32 L32 O32">
    <cfRule type="expression" dxfId="195" priority="8">
      <formula>ISNUMBER(F32)=FALSE</formula>
    </cfRule>
  </conditionalFormatting>
  <conditionalFormatting sqref="B32:C32">
    <cfRule type="containsBlanks" dxfId="194" priority="7">
      <formula>LEN(TRIM(B32))=0</formula>
    </cfRule>
  </conditionalFormatting>
  <conditionalFormatting sqref="F33 I33 L33 O33">
    <cfRule type="expression" dxfId="193" priority="6">
      <formula>ISNUMBER(F33)=FALSE</formula>
    </cfRule>
  </conditionalFormatting>
  <conditionalFormatting sqref="B33:C33">
    <cfRule type="containsBlanks" dxfId="192" priority="5">
      <formula>LEN(TRIM(B33))=0</formula>
    </cfRule>
  </conditionalFormatting>
  <conditionalFormatting sqref="F34 I34 L34 O34">
    <cfRule type="expression" dxfId="191" priority="4">
      <formula>ISNUMBER(F34)=FALSE</formula>
    </cfRule>
  </conditionalFormatting>
  <conditionalFormatting sqref="B34:C34">
    <cfRule type="containsBlanks" dxfId="190" priority="3">
      <formula>LEN(TRIM(B34))=0</formula>
    </cfRule>
  </conditionalFormatting>
  <dataValidations count="4">
    <dataValidation allowBlank="1" showInputMessage="1" errorTitle="Warning: Max Ceilings exceeded" error="Please be aware that this exceed the &quot;Ceilings&quot; for the maximum amounts for staff cost by country" sqref="J13:J34 P13:P34 G13:G34 M13:M34" xr:uid="{00000000-0002-0000-0200-000000000000}"/>
    <dataValidation type="custom" allowBlank="1" showInputMessage="1" showErrorMessage="1" error="Format error (1 decimal only)" prompt="Please encode number of days - 1 decimal only" sqref="I13:I34 O13:O34 L13:L34 F13:F34" xr:uid="{00000000-0002-0000-0200-000001000000}">
      <formula1>F13=INT(F13*10)/10</formula1>
    </dataValidation>
    <dataValidation type="list" allowBlank="1" showInputMessage="1" showErrorMessage="1" error="Click arrow to select Work Package" prompt="Click arrow to select Work Package" sqref="B13:B34" xr:uid="{00000000-0002-0000-0200-000002000000}">
      <formula1>WorkPackage</formula1>
    </dataValidation>
    <dataValidation type="list" allowBlank="1" showInputMessage="1" showErrorMessage="1" error="Click arrow to select Partner N°" prompt="Click arrow to select Partner N°" sqref="C13:C34"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2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183</v>
      </c>
      <c r="C2" s="149"/>
      <c r="D2" s="149"/>
      <c r="E2" s="149"/>
      <c r="F2" s="149"/>
      <c r="G2" s="149"/>
      <c r="H2" s="149"/>
      <c r="I2" s="149"/>
      <c r="J2" s="149"/>
      <c r="K2" s="149"/>
      <c r="L2" s="149"/>
      <c r="M2" s="149"/>
      <c r="N2" s="149"/>
      <c r="O2" s="149"/>
      <c r="P2" s="149"/>
      <c r="Q2" s="149"/>
      <c r="R2" s="149"/>
    </row>
    <row r="3" spans="2:18" s="20" customFormat="1" ht="8.1" customHeight="1" x14ac:dyDescent="0.35">
      <c r="B3" s="139"/>
      <c r="C3" s="140"/>
      <c r="D3" s="140"/>
      <c r="E3" s="140"/>
      <c r="F3" s="140"/>
      <c r="G3" s="140"/>
      <c r="H3" s="140"/>
      <c r="I3" s="140"/>
      <c r="J3" s="140"/>
      <c r="K3" s="140"/>
      <c r="L3" s="140"/>
      <c r="M3" s="140"/>
      <c r="N3" s="140"/>
      <c r="O3" s="140"/>
      <c r="P3" s="140"/>
      <c r="Q3" s="140"/>
      <c r="R3" s="141"/>
    </row>
    <row r="4" spans="2:18" s="20" customFormat="1" ht="20.100000000000001" customHeight="1" x14ac:dyDescent="0.35">
      <c r="B4" s="142" t="s">
        <v>302</v>
      </c>
      <c r="C4" s="143"/>
      <c r="D4" s="51">
        <f>SUMIF(G:G,"Student",O:O)</f>
        <v>60450</v>
      </c>
      <c r="E4" s="169">
        <f>D4+D5</f>
        <v>180150</v>
      </c>
      <c r="F4" s="154">
        <f>SUMIFS(H:H,G:G,"Student",R:R,"&lt;&gt;Error")</f>
        <v>110</v>
      </c>
      <c r="G4" s="49"/>
      <c r="L4" s="146" t="s">
        <v>345</v>
      </c>
      <c r="M4" s="147"/>
      <c r="N4" s="148"/>
      <c r="O4" s="90"/>
      <c r="P4" s="90"/>
      <c r="Q4" s="90"/>
      <c r="R4" s="77"/>
    </row>
    <row r="5" spans="2:18" s="20" customFormat="1" ht="20.100000000000001" customHeight="1" x14ac:dyDescent="0.35">
      <c r="B5" s="144" t="s">
        <v>303</v>
      </c>
      <c r="C5" s="145"/>
      <c r="D5" s="52">
        <f>SUMIF(G:G,"Student",P:P)</f>
        <v>119700</v>
      </c>
      <c r="E5" s="170"/>
      <c r="F5" s="155"/>
      <c r="G5" s="49"/>
      <c r="H5" s="50"/>
      <c r="I5" s="50"/>
      <c r="J5" s="50"/>
      <c r="L5" s="156" t="s">
        <v>354</v>
      </c>
      <c r="M5" s="157"/>
      <c r="N5" s="158"/>
      <c r="O5" s="50"/>
      <c r="P5" s="50"/>
      <c r="Q5" s="50"/>
      <c r="R5" s="77"/>
    </row>
    <row r="6" spans="2:18" s="20" customFormat="1" ht="20.100000000000001" customHeight="1" x14ac:dyDescent="0.35">
      <c r="B6" s="142" t="s">
        <v>304</v>
      </c>
      <c r="C6" s="143"/>
      <c r="D6" s="51">
        <f>SUMIF(G:G,"Staff",O:O)</f>
        <v>45325</v>
      </c>
      <c r="E6" s="167">
        <f>D6+D7</f>
        <v>230125</v>
      </c>
      <c r="F6" s="152">
        <f>SUMIFS(H:H,G:G,"Staff",R:R,"&lt;&gt;Error")</f>
        <v>80</v>
      </c>
      <c r="G6" s="49"/>
      <c r="L6" s="159"/>
      <c r="M6" s="160"/>
      <c r="N6" s="161"/>
      <c r="R6" s="77"/>
    </row>
    <row r="7" spans="2:18" s="20" customFormat="1" ht="20.100000000000001" customHeight="1" x14ac:dyDescent="0.35">
      <c r="B7" s="144" t="s">
        <v>305</v>
      </c>
      <c r="C7" s="145"/>
      <c r="D7" s="52">
        <f>SUMIF(G:G,"Staff",P:P)</f>
        <v>184800</v>
      </c>
      <c r="E7" s="168"/>
      <c r="F7" s="153"/>
      <c r="G7" s="49"/>
      <c r="L7" s="159"/>
      <c r="M7" s="160"/>
      <c r="N7" s="161"/>
      <c r="R7" s="77"/>
    </row>
    <row r="8" spans="2:18" s="20" customFormat="1" ht="20.100000000000001" customHeight="1" x14ac:dyDescent="0.35">
      <c r="B8" s="142" t="s">
        <v>306</v>
      </c>
      <c r="C8" s="143"/>
      <c r="D8" s="51">
        <f>SUM(O:O)</f>
        <v>105775</v>
      </c>
      <c r="E8" s="165">
        <f>D8+D9</f>
        <v>410275</v>
      </c>
      <c r="F8" s="150">
        <f>F4+F6</f>
        <v>190</v>
      </c>
      <c r="G8" s="49"/>
      <c r="L8" s="159"/>
      <c r="M8" s="160"/>
      <c r="N8" s="161"/>
      <c r="R8" s="77"/>
    </row>
    <row r="9" spans="2:18" s="20" customFormat="1" ht="20.100000000000001" customHeight="1" x14ac:dyDescent="0.35">
      <c r="B9" s="144" t="s">
        <v>307</v>
      </c>
      <c r="C9" s="145"/>
      <c r="D9" s="52">
        <f>SUM(P:P)</f>
        <v>304500</v>
      </c>
      <c r="E9" s="166"/>
      <c r="F9" s="151"/>
      <c r="G9" s="49"/>
      <c r="L9" s="159"/>
      <c r="M9" s="160"/>
      <c r="N9" s="161"/>
      <c r="R9" s="77"/>
    </row>
    <row r="10" spans="2:18" s="20" customFormat="1" x14ac:dyDescent="0.35">
      <c r="B10" s="144" t="s">
        <v>344</v>
      </c>
      <c r="C10" s="145"/>
      <c r="D10" s="52">
        <f>SUM(N:N)</f>
        <v>0</v>
      </c>
      <c r="L10" s="159"/>
      <c r="M10" s="160"/>
      <c r="N10" s="161"/>
      <c r="R10" s="94"/>
    </row>
    <row r="11" spans="2:18" s="45" customFormat="1" ht="62.25" customHeight="1" x14ac:dyDescent="0.35">
      <c r="B11" s="86"/>
      <c r="L11" s="162"/>
      <c r="M11" s="163"/>
      <c r="N11" s="164"/>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3" si="2">IF(AND(M13&gt;0,L13&lt;&gt;""),IF(M13&gt;(ROUND( (ROUND(ROUND(H13,0)*(VLOOKUP(J13,TravelCosts,2,FALSE)),2))/0.65,2)),ROUND(M13*0.8,2),"covered by unit cost"),0)</f>
        <v>0</v>
      </c>
      <c r="O13" s="37">
        <f t="shared" ref="O13:O23" si="3">IF(OR(AND(L13&lt;&gt;"",M13&gt;0,ISNUMBER(N13)),R13="Error"),0,ROUND(ROUND(H13,0)*(VLOOKUP(J13,TravelCosts,2,FALSE)),2))</f>
        <v>0</v>
      </c>
      <c r="P13" s="37">
        <f t="shared" ref="P13:P23" si="4">IF(R13="Error",0,IF(AND(G13="Staff",K13&gt;0,K13&lt;15),(120*K13)*H13,IF(AND(G13="Staff",K13&gt;14,K13&lt;61),(1680+((K13-14)*70))*H13,IF(AND(G13="Staff",K13&gt;60,K13&lt;91),(4900+((K13-60)*50))*H13,IF(AND(G13="Student",K13&gt;0,K13&lt;15),(55*K13)*H13,IF(AND(G13="Student",K13&gt;14,K13&lt;91),(770+((K13-14)*40))*H13,0))))))</f>
        <v>0</v>
      </c>
      <c r="Q13" s="38">
        <f t="shared" ref="Q13:Q23" si="5">IFERROR(N13+O13+P13,O13+P13)</f>
        <v>0</v>
      </c>
      <c r="R13" s="91" t="str">
        <f t="shared" ref="R13:R23"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174</v>
      </c>
      <c r="C14" s="19" t="s">
        <v>8</v>
      </c>
      <c r="D14" s="42" t="str">
        <f t="shared" si="0"/>
        <v>SPCA Straż Zwierzat Polska</v>
      </c>
      <c r="E14" s="42" t="str">
        <f t="shared" si="1"/>
        <v>Poland</v>
      </c>
      <c r="F14" s="18" t="s">
        <v>368</v>
      </c>
      <c r="G14" s="78" t="s">
        <v>210</v>
      </c>
      <c r="H14" s="79">
        <v>20</v>
      </c>
      <c r="I14" s="18" t="s">
        <v>369</v>
      </c>
      <c r="J14" s="14" t="s">
        <v>150</v>
      </c>
      <c r="K14" s="79">
        <v>22</v>
      </c>
      <c r="L14" s="92"/>
      <c r="M14" s="93"/>
      <c r="N14" s="37">
        <f t="shared" si="2"/>
        <v>0</v>
      </c>
      <c r="O14" s="37">
        <f t="shared" si="3"/>
        <v>5500</v>
      </c>
      <c r="P14" s="37">
        <f t="shared" si="4"/>
        <v>21800</v>
      </c>
      <c r="Q14" s="38">
        <f t="shared" si="5"/>
        <v>27300</v>
      </c>
      <c r="R14" s="91" t="str">
        <f t="shared" si="6"/>
        <v/>
      </c>
    </row>
    <row r="15" spans="2:18" s="34" customFormat="1" x14ac:dyDescent="0.3">
      <c r="B15" s="14" t="s">
        <v>174</v>
      </c>
      <c r="C15" s="19" t="s">
        <v>8</v>
      </c>
      <c r="D15" s="42" t="str">
        <f t="shared" ref="D15:D23" si="7">IFERROR(IF(VLOOKUP(C15,PartnerN°Ref,2,FALSE)=0,"",VLOOKUP(C15,PartnerN°Ref,2,FALSE)),"")</f>
        <v>SPCA Straż Zwierzat Polska</v>
      </c>
      <c r="E15" s="42" t="str">
        <f t="shared" ref="E15:E23" si="8">IFERROR(IF(OR(VLOOKUP(C15,PartnerN°Ref,4,FALSE)="Country not found",VLOOKUP(C15,PartnerN°Ref,3,FALSE)=0),"",VLOOKUP(C15,PartnerN°Ref,3,FALSE)),"")</f>
        <v>Poland</v>
      </c>
      <c r="F15" s="18" t="s">
        <v>368</v>
      </c>
      <c r="G15" s="78" t="s">
        <v>208</v>
      </c>
      <c r="H15" s="79">
        <v>15</v>
      </c>
      <c r="I15" s="18" t="s">
        <v>369</v>
      </c>
      <c r="J15" s="14" t="s">
        <v>150</v>
      </c>
      <c r="K15" s="79">
        <v>22</v>
      </c>
      <c r="L15" s="92"/>
      <c r="M15" s="93"/>
      <c r="N15" s="37">
        <f t="shared" si="2"/>
        <v>0</v>
      </c>
      <c r="O15" s="37">
        <f t="shared" si="3"/>
        <v>4125</v>
      </c>
      <c r="P15" s="37">
        <f t="shared" si="4"/>
        <v>33600</v>
      </c>
      <c r="Q15" s="38">
        <f t="shared" si="5"/>
        <v>37725</v>
      </c>
      <c r="R15" s="91" t="str">
        <f t="shared" si="6"/>
        <v/>
      </c>
    </row>
    <row r="16" spans="2:18" s="34" customFormat="1" x14ac:dyDescent="0.3">
      <c r="B16" s="14" t="s">
        <v>173</v>
      </c>
      <c r="C16" s="19" t="s">
        <v>9</v>
      </c>
      <c r="D16" s="42" t="str">
        <f t="shared" si="7"/>
        <v>University of California</v>
      </c>
      <c r="E16" s="42" t="str">
        <f t="shared" si="8"/>
        <v>Spain</v>
      </c>
      <c r="F16" s="18" t="s">
        <v>368</v>
      </c>
      <c r="G16" s="78" t="s">
        <v>210</v>
      </c>
      <c r="H16" s="79">
        <v>20</v>
      </c>
      <c r="I16" s="18" t="s">
        <v>370</v>
      </c>
      <c r="J16" s="14" t="s">
        <v>152</v>
      </c>
      <c r="K16" s="79">
        <v>24</v>
      </c>
      <c r="L16" s="92"/>
      <c r="M16" s="93"/>
      <c r="N16" s="37">
        <f t="shared" si="2"/>
        <v>0</v>
      </c>
      <c r="O16" s="37">
        <f t="shared" si="3"/>
        <v>30000</v>
      </c>
      <c r="P16" s="37">
        <f t="shared" si="4"/>
        <v>23400</v>
      </c>
      <c r="Q16" s="38">
        <f t="shared" si="5"/>
        <v>53400</v>
      </c>
      <c r="R16" s="91" t="str">
        <f t="shared" si="6"/>
        <v/>
      </c>
    </row>
    <row r="17" spans="2:18" s="34" customFormat="1" x14ac:dyDescent="0.3">
      <c r="B17" s="14" t="s">
        <v>173</v>
      </c>
      <c r="C17" s="19" t="s">
        <v>9</v>
      </c>
      <c r="D17" s="42" t="str">
        <f t="shared" si="7"/>
        <v>University of California</v>
      </c>
      <c r="E17" s="42" t="str">
        <f t="shared" si="8"/>
        <v>Spain</v>
      </c>
      <c r="F17" s="18" t="s">
        <v>368</v>
      </c>
      <c r="G17" s="78" t="s">
        <v>208</v>
      </c>
      <c r="H17" s="79">
        <v>15</v>
      </c>
      <c r="I17" s="18" t="s">
        <v>370</v>
      </c>
      <c r="J17" s="14" t="s">
        <v>152</v>
      </c>
      <c r="K17" s="79">
        <v>24</v>
      </c>
      <c r="L17" s="92"/>
      <c r="M17" s="93"/>
      <c r="N17" s="37">
        <f t="shared" si="2"/>
        <v>0</v>
      </c>
      <c r="O17" s="37">
        <f t="shared" si="3"/>
        <v>22500</v>
      </c>
      <c r="P17" s="37">
        <f t="shared" si="4"/>
        <v>35700</v>
      </c>
      <c r="Q17" s="38">
        <f t="shared" si="5"/>
        <v>58200</v>
      </c>
      <c r="R17" s="91" t="str">
        <f t="shared" si="6"/>
        <v/>
      </c>
    </row>
    <row r="18" spans="2:18" s="34" customFormat="1" x14ac:dyDescent="0.3">
      <c r="B18" s="14" t="s">
        <v>172</v>
      </c>
      <c r="C18" s="19" t="s">
        <v>10</v>
      </c>
      <c r="D18" s="42" t="str">
        <f t="shared" si="7"/>
        <v>Cairo University</v>
      </c>
      <c r="E18" s="42" t="str">
        <f t="shared" si="8"/>
        <v>Egypt</v>
      </c>
      <c r="F18" s="18" t="s">
        <v>368</v>
      </c>
      <c r="G18" s="78" t="s">
        <v>210</v>
      </c>
      <c r="H18" s="79">
        <v>25</v>
      </c>
      <c r="I18" s="18" t="s">
        <v>371</v>
      </c>
      <c r="J18" s="14" t="s">
        <v>154</v>
      </c>
      <c r="K18" s="79">
        <v>23</v>
      </c>
      <c r="L18" s="92"/>
      <c r="M18" s="93"/>
      <c r="N18" s="37">
        <f t="shared" si="2"/>
        <v>0</v>
      </c>
      <c r="O18" s="37">
        <f t="shared" si="3"/>
        <v>13250</v>
      </c>
      <c r="P18" s="37">
        <f t="shared" si="4"/>
        <v>28250</v>
      </c>
      <c r="Q18" s="38">
        <f t="shared" si="5"/>
        <v>41500</v>
      </c>
      <c r="R18" s="91" t="str">
        <f t="shared" si="6"/>
        <v/>
      </c>
    </row>
    <row r="19" spans="2:18" s="34" customFormat="1" x14ac:dyDescent="0.3">
      <c r="B19" s="14" t="s">
        <v>172</v>
      </c>
      <c r="C19" s="19" t="s">
        <v>10</v>
      </c>
      <c r="D19" s="42" t="str">
        <f t="shared" si="7"/>
        <v>Cairo University</v>
      </c>
      <c r="E19" s="42" t="str">
        <f t="shared" si="8"/>
        <v>Egypt</v>
      </c>
      <c r="F19" s="18" t="s">
        <v>368</v>
      </c>
      <c r="G19" s="78" t="s">
        <v>208</v>
      </c>
      <c r="H19" s="79">
        <v>20</v>
      </c>
      <c r="I19" s="18" t="s">
        <v>371</v>
      </c>
      <c r="J19" s="14" t="s">
        <v>154</v>
      </c>
      <c r="K19" s="79">
        <v>23</v>
      </c>
      <c r="L19" s="92"/>
      <c r="M19" s="93"/>
      <c r="N19" s="37">
        <f t="shared" si="2"/>
        <v>0</v>
      </c>
      <c r="O19" s="37">
        <f t="shared" si="3"/>
        <v>10600</v>
      </c>
      <c r="P19" s="37">
        <f t="shared" si="4"/>
        <v>46200</v>
      </c>
      <c r="Q19" s="38">
        <f t="shared" si="5"/>
        <v>56800</v>
      </c>
      <c r="R19" s="91" t="str">
        <f t="shared" si="6"/>
        <v/>
      </c>
    </row>
    <row r="20" spans="2:18" s="34" customFormat="1" x14ac:dyDescent="0.3">
      <c r="B20" s="14" t="s">
        <v>173</v>
      </c>
      <c r="C20" s="19" t="s">
        <v>11</v>
      </c>
      <c r="D20" s="42" t="str">
        <f t="shared" si="7"/>
        <v>Unversity of Belgrade</v>
      </c>
      <c r="E20" s="42" t="str">
        <f t="shared" si="8"/>
        <v>Serbia</v>
      </c>
      <c r="F20" s="18" t="s">
        <v>368</v>
      </c>
      <c r="G20" s="78" t="s">
        <v>210</v>
      </c>
      <c r="H20" s="79">
        <v>25</v>
      </c>
      <c r="I20" s="18" t="s">
        <v>372</v>
      </c>
      <c r="J20" s="14" t="s">
        <v>149</v>
      </c>
      <c r="K20" s="79">
        <v>20</v>
      </c>
      <c r="L20" s="92"/>
      <c r="M20" s="93"/>
      <c r="N20" s="37">
        <f t="shared" si="2"/>
        <v>0</v>
      </c>
      <c r="O20" s="37">
        <f t="shared" si="3"/>
        <v>4500</v>
      </c>
      <c r="P20" s="37">
        <f t="shared" si="4"/>
        <v>25250</v>
      </c>
      <c r="Q20" s="38">
        <f t="shared" si="5"/>
        <v>29750</v>
      </c>
      <c r="R20" s="91" t="str">
        <f t="shared" si="6"/>
        <v/>
      </c>
    </row>
    <row r="21" spans="2:18" s="34" customFormat="1" x14ac:dyDescent="0.3">
      <c r="B21" s="14" t="s">
        <v>173</v>
      </c>
      <c r="C21" s="19" t="s">
        <v>11</v>
      </c>
      <c r="D21" s="42" t="str">
        <f t="shared" si="7"/>
        <v>Unversity of Belgrade</v>
      </c>
      <c r="E21" s="42" t="str">
        <f t="shared" si="8"/>
        <v>Serbia</v>
      </c>
      <c r="F21" s="18" t="s">
        <v>368</v>
      </c>
      <c r="G21" s="78" t="s">
        <v>208</v>
      </c>
      <c r="H21" s="79">
        <v>15</v>
      </c>
      <c r="I21" s="18" t="s">
        <v>372</v>
      </c>
      <c r="J21" s="14" t="s">
        <v>149</v>
      </c>
      <c r="K21" s="79">
        <v>25</v>
      </c>
      <c r="L21" s="92"/>
      <c r="M21" s="93"/>
      <c r="N21" s="37">
        <f t="shared" si="2"/>
        <v>0</v>
      </c>
      <c r="O21" s="37">
        <f t="shared" si="3"/>
        <v>2700</v>
      </c>
      <c r="P21" s="37">
        <f t="shared" si="4"/>
        <v>36750</v>
      </c>
      <c r="Q21" s="38">
        <f t="shared" si="5"/>
        <v>39450</v>
      </c>
      <c r="R21" s="91" t="str">
        <f t="shared" si="6"/>
        <v/>
      </c>
    </row>
    <row r="22" spans="2:18" s="34" customFormat="1" x14ac:dyDescent="0.3">
      <c r="B22" s="14" t="s">
        <v>173</v>
      </c>
      <c r="C22" s="19" t="s">
        <v>12</v>
      </c>
      <c r="D22" s="42" t="str">
        <f t="shared" si="7"/>
        <v>Rescue animals of North Africa</v>
      </c>
      <c r="E22" s="42" t="str">
        <f t="shared" si="8"/>
        <v>Tunisia</v>
      </c>
      <c r="F22" s="18" t="s">
        <v>368</v>
      </c>
      <c r="G22" s="78" t="s">
        <v>210</v>
      </c>
      <c r="H22" s="79">
        <v>20</v>
      </c>
      <c r="I22" s="18" t="s">
        <v>373</v>
      </c>
      <c r="J22" s="14" t="s">
        <v>151</v>
      </c>
      <c r="K22" s="79">
        <v>21</v>
      </c>
      <c r="L22" s="92"/>
      <c r="M22" s="93"/>
      <c r="N22" s="37">
        <f t="shared" si="2"/>
        <v>0</v>
      </c>
      <c r="O22" s="37">
        <f t="shared" si="3"/>
        <v>7200</v>
      </c>
      <c r="P22" s="37">
        <f t="shared" si="4"/>
        <v>21000</v>
      </c>
      <c r="Q22" s="38">
        <f t="shared" si="5"/>
        <v>28200</v>
      </c>
      <c r="R22" s="91" t="str">
        <f t="shared" si="6"/>
        <v/>
      </c>
    </row>
    <row r="23" spans="2:18" s="34" customFormat="1" x14ac:dyDescent="0.3">
      <c r="B23" s="14" t="s">
        <v>173</v>
      </c>
      <c r="C23" s="19" t="s">
        <v>12</v>
      </c>
      <c r="D23" s="42" t="str">
        <f t="shared" si="7"/>
        <v>Rescue animals of North Africa</v>
      </c>
      <c r="E23" s="42" t="str">
        <f t="shared" si="8"/>
        <v>Tunisia</v>
      </c>
      <c r="F23" s="18" t="s">
        <v>368</v>
      </c>
      <c r="G23" s="78" t="s">
        <v>208</v>
      </c>
      <c r="H23" s="79">
        <v>15</v>
      </c>
      <c r="I23" s="18" t="s">
        <v>373</v>
      </c>
      <c r="J23" s="14" t="s">
        <v>151</v>
      </c>
      <c r="K23" s="79">
        <v>21</v>
      </c>
      <c r="L23" s="92"/>
      <c r="M23" s="93"/>
      <c r="N23" s="37">
        <f t="shared" si="2"/>
        <v>0</v>
      </c>
      <c r="O23" s="37">
        <f t="shared" si="3"/>
        <v>5400</v>
      </c>
      <c r="P23" s="37">
        <f t="shared" si="4"/>
        <v>32550</v>
      </c>
      <c r="Q23" s="38">
        <f t="shared" si="5"/>
        <v>37950</v>
      </c>
      <c r="R23" s="91" t="str">
        <f t="shared" si="6"/>
        <v/>
      </c>
    </row>
    <row r="25" spans="2:18" x14ac:dyDescent="0.35">
      <c r="M25" s="96"/>
    </row>
    <row r="27" spans="2:18" x14ac:dyDescent="0.35">
      <c r="L27" s="95"/>
      <c r="M27" s="95"/>
    </row>
    <row r="28" spans="2:18" x14ac:dyDescent="0.35">
      <c r="M28" s="95"/>
      <c r="N28" s="95"/>
      <c r="O28" s="95"/>
    </row>
  </sheetData>
  <sheetProtection algorithmName="SHA-512" hashValue="eW4ZQTPeLNOYV/pY8iNs8QkqPjgs2NnIVFTD4vtrH3uwsWzfx21R+27klpAsXYZFhW7WfEwpnvkgpw0ioZTY8A==" saltValue="mVvqn1pTxUTgPDkruDQ1nw==" spinCount="100000" sheet="1" objects="1" scenarios="1" selectLockedCells="1"/>
  <dataConsolidate/>
  <mergeCells count="17">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s>
  <conditionalFormatting sqref="R14">
    <cfRule type="containsText" dxfId="187" priority="1560" operator="containsText" text="Error">
      <formula>NOT(ISERROR(SEARCH("Error",R14)))</formula>
    </cfRule>
  </conditionalFormatting>
  <conditionalFormatting sqref="D13:E23">
    <cfRule type="containsBlanks" dxfId="186" priority="1558">
      <formula>LEN(TRIM(D13))=0</formula>
    </cfRule>
  </conditionalFormatting>
  <conditionalFormatting sqref="O4:Q4">
    <cfRule type="cellIs" dxfId="185" priority="1306" operator="equal">
      <formula>"EXCEEDING 80% OF TOTAL TRAVEL COSTS"</formula>
    </cfRule>
  </conditionalFormatting>
  <conditionalFormatting sqref="H13 K13">
    <cfRule type="expression" dxfId="184" priority="1298">
      <formula>ISNUMBER(H13)=FALSE</formula>
    </cfRule>
  </conditionalFormatting>
  <conditionalFormatting sqref="F13:K13">
    <cfRule type="containsBlanks" dxfId="183" priority="223">
      <formula>LEN(TRIM(F13))=0</formula>
    </cfRule>
  </conditionalFormatting>
  <conditionalFormatting sqref="B13:C13">
    <cfRule type="containsBlanks" dxfId="182" priority="1290">
      <formula>LEN(TRIM(B13))=0</formula>
    </cfRule>
  </conditionalFormatting>
  <conditionalFormatting sqref="B14:C14">
    <cfRule type="containsBlanks" dxfId="181" priority="1289">
      <formula>LEN(TRIM(B14))=0</formula>
    </cfRule>
  </conditionalFormatting>
  <conditionalFormatting sqref="K13">
    <cfRule type="cellIs" dxfId="180" priority="218" operator="lessThan">
      <formula>0</formula>
    </cfRule>
    <cfRule type="cellIs" dxfId="179" priority="1303" operator="equal">
      <formula>0</formula>
    </cfRule>
  </conditionalFormatting>
  <conditionalFormatting sqref="H13">
    <cfRule type="cellIs" dxfId="178" priority="1294" operator="lessThanOrEqual">
      <formula>0</formula>
    </cfRule>
  </conditionalFormatting>
  <conditionalFormatting sqref="H14 K14">
    <cfRule type="expression" dxfId="177" priority="216">
      <formula>ISNUMBER(H14)=FALSE</formula>
    </cfRule>
  </conditionalFormatting>
  <conditionalFormatting sqref="F14:K14">
    <cfRule type="containsBlanks" dxfId="176" priority="214">
      <formula>LEN(TRIM(F14))=0</formula>
    </cfRule>
  </conditionalFormatting>
  <conditionalFormatting sqref="K14">
    <cfRule type="cellIs" dxfId="175" priority="213" operator="lessThan">
      <formula>0</formula>
    </cfRule>
    <cfRule type="cellIs" dxfId="174" priority="217" operator="equal">
      <formula>0</formula>
    </cfRule>
  </conditionalFormatting>
  <conditionalFormatting sqref="H14">
    <cfRule type="cellIs" dxfId="173" priority="215" operator="lessThanOrEqual">
      <formula>0</formula>
    </cfRule>
  </conditionalFormatting>
  <conditionalFormatting sqref="M14">
    <cfRule type="expression" dxfId="172" priority="196">
      <formula>AND(M14=0,L14&lt;&gt;"")</formula>
    </cfRule>
  </conditionalFormatting>
  <conditionalFormatting sqref="L14">
    <cfRule type="expression" dxfId="171" priority="198">
      <formula>AND(L14="",M14&gt;0)</formula>
    </cfRule>
  </conditionalFormatting>
  <conditionalFormatting sqref="L14:M14">
    <cfRule type="cellIs" dxfId="170" priority="199" operator="equal">
      <formula>0</formula>
    </cfRule>
  </conditionalFormatting>
  <conditionalFormatting sqref="M13">
    <cfRule type="expression" dxfId="169" priority="188">
      <formula>AND(M13=0,L13&lt;&gt;"")</formula>
    </cfRule>
  </conditionalFormatting>
  <conditionalFormatting sqref="L13">
    <cfRule type="expression" dxfId="168" priority="189">
      <formula>AND(L13="",M13&gt;0)</formula>
    </cfRule>
  </conditionalFormatting>
  <conditionalFormatting sqref="L13:M13">
    <cfRule type="cellIs" dxfId="167" priority="190" operator="equal">
      <formula>0</formula>
    </cfRule>
  </conditionalFormatting>
  <conditionalFormatting sqref="N14">
    <cfRule type="expression" dxfId="166" priority="176">
      <formula>ISNUMBER(N14)=FALSE</formula>
    </cfRule>
  </conditionalFormatting>
  <conditionalFormatting sqref="R13">
    <cfRule type="containsText" dxfId="165" priority="163" operator="containsText" text="Error">
      <formula>NOT(ISERROR(SEARCH("Error",R13)))</formula>
    </cfRule>
  </conditionalFormatting>
  <conditionalFormatting sqref="N13">
    <cfRule type="expression" dxfId="164" priority="162">
      <formula>ISNUMBER(N13)=FALSE</formula>
    </cfRule>
  </conditionalFormatting>
  <conditionalFormatting sqref="H15 K15">
    <cfRule type="expression" dxfId="163" priority="98">
      <formula>ISNUMBER(H15)=FALSE</formula>
    </cfRule>
  </conditionalFormatting>
  <conditionalFormatting sqref="F15:K15">
    <cfRule type="containsBlanks" dxfId="162" priority="95">
      <formula>LEN(TRIM(F15))=0</formula>
    </cfRule>
  </conditionalFormatting>
  <conditionalFormatting sqref="B15:C15">
    <cfRule type="containsBlanks" dxfId="161" priority="96">
      <formula>LEN(TRIM(B15))=0</formula>
    </cfRule>
  </conditionalFormatting>
  <conditionalFormatting sqref="K15">
    <cfRule type="cellIs" dxfId="160" priority="94" operator="lessThan">
      <formula>0</formula>
    </cfRule>
    <cfRule type="cellIs" dxfId="159" priority="99" operator="equal">
      <formula>0</formula>
    </cfRule>
  </conditionalFormatting>
  <conditionalFormatting sqref="H15">
    <cfRule type="cellIs" dxfId="158" priority="97" operator="lessThanOrEqual">
      <formula>0</formula>
    </cfRule>
  </conditionalFormatting>
  <conditionalFormatting sqref="M15">
    <cfRule type="expression" dxfId="157" priority="91">
      <formula>AND(M15=0,L15&lt;&gt;"")</formula>
    </cfRule>
  </conditionalFormatting>
  <conditionalFormatting sqref="L15">
    <cfRule type="expression" dxfId="156" priority="92">
      <formula>AND(L15="",M15&gt;0)</formula>
    </cfRule>
  </conditionalFormatting>
  <conditionalFormatting sqref="L15:M15">
    <cfRule type="cellIs" dxfId="155" priority="93" operator="equal">
      <formula>0</formula>
    </cfRule>
  </conditionalFormatting>
  <conditionalFormatting sqref="R15">
    <cfRule type="containsText" dxfId="154" priority="90" operator="containsText" text="Error">
      <formula>NOT(ISERROR(SEARCH("Error",R15)))</formula>
    </cfRule>
  </conditionalFormatting>
  <conditionalFormatting sqref="N15">
    <cfRule type="expression" dxfId="153" priority="89">
      <formula>ISNUMBER(N15)=FALSE</formula>
    </cfRule>
  </conditionalFormatting>
  <conditionalFormatting sqref="H16 K16">
    <cfRule type="expression" dxfId="152" priority="87">
      <formula>ISNUMBER(H16)=FALSE</formula>
    </cfRule>
  </conditionalFormatting>
  <conditionalFormatting sqref="F16:K16">
    <cfRule type="containsBlanks" dxfId="151" priority="84">
      <formula>LEN(TRIM(F16))=0</formula>
    </cfRule>
  </conditionalFormatting>
  <conditionalFormatting sqref="B16:C16">
    <cfRule type="containsBlanks" dxfId="150" priority="85">
      <formula>LEN(TRIM(B16))=0</formula>
    </cfRule>
  </conditionalFormatting>
  <conditionalFormatting sqref="K16">
    <cfRule type="cellIs" dxfId="149" priority="83" operator="lessThan">
      <formula>0</formula>
    </cfRule>
    <cfRule type="cellIs" dxfId="148" priority="88" operator="equal">
      <formula>0</formula>
    </cfRule>
  </conditionalFormatting>
  <conditionalFormatting sqref="H16">
    <cfRule type="cellIs" dxfId="147" priority="86" operator="lessThanOrEqual">
      <formula>0</formula>
    </cfRule>
  </conditionalFormatting>
  <conditionalFormatting sqref="M16">
    <cfRule type="expression" dxfId="146" priority="80">
      <formula>AND(M16=0,L16&lt;&gt;"")</formula>
    </cfRule>
  </conditionalFormatting>
  <conditionalFormatting sqref="L16">
    <cfRule type="expression" dxfId="145" priority="81">
      <formula>AND(L16="",M16&gt;0)</formula>
    </cfRule>
  </conditionalFormatting>
  <conditionalFormatting sqref="L16:M16">
    <cfRule type="cellIs" dxfId="144" priority="82" operator="equal">
      <formula>0</formula>
    </cfRule>
  </conditionalFormatting>
  <conditionalFormatting sqref="R16">
    <cfRule type="containsText" dxfId="143" priority="79" operator="containsText" text="Error">
      <formula>NOT(ISERROR(SEARCH("Error",R16)))</formula>
    </cfRule>
  </conditionalFormatting>
  <conditionalFormatting sqref="N16">
    <cfRule type="expression" dxfId="142" priority="78">
      <formula>ISNUMBER(N16)=FALSE</formula>
    </cfRule>
  </conditionalFormatting>
  <conditionalFormatting sqref="H17 K17">
    <cfRule type="expression" dxfId="141" priority="76">
      <formula>ISNUMBER(H17)=FALSE</formula>
    </cfRule>
  </conditionalFormatting>
  <conditionalFormatting sqref="F17:K17">
    <cfRule type="containsBlanks" dxfId="140" priority="73">
      <formula>LEN(TRIM(F17))=0</formula>
    </cfRule>
  </conditionalFormatting>
  <conditionalFormatting sqref="B17:C17">
    <cfRule type="containsBlanks" dxfId="139" priority="74">
      <formula>LEN(TRIM(B17))=0</formula>
    </cfRule>
  </conditionalFormatting>
  <conditionalFormatting sqref="K17">
    <cfRule type="cellIs" dxfId="138" priority="72" operator="lessThan">
      <formula>0</formula>
    </cfRule>
    <cfRule type="cellIs" dxfId="137" priority="77" operator="equal">
      <formula>0</formula>
    </cfRule>
  </conditionalFormatting>
  <conditionalFormatting sqref="H17">
    <cfRule type="cellIs" dxfId="136" priority="75" operator="lessThanOrEqual">
      <formula>0</formula>
    </cfRule>
  </conditionalFormatting>
  <conditionalFormatting sqref="M17">
    <cfRule type="expression" dxfId="135" priority="69">
      <formula>AND(M17=0,L17&lt;&gt;"")</formula>
    </cfRule>
  </conditionalFormatting>
  <conditionalFormatting sqref="L17">
    <cfRule type="expression" dxfId="134" priority="70">
      <formula>AND(L17="",M17&gt;0)</formula>
    </cfRule>
  </conditionalFormatting>
  <conditionalFormatting sqref="L17:M17">
    <cfRule type="cellIs" dxfId="133" priority="71" operator="equal">
      <formula>0</formula>
    </cfRule>
  </conditionalFormatting>
  <conditionalFormatting sqref="R17">
    <cfRule type="containsText" dxfId="132" priority="68" operator="containsText" text="Error">
      <formula>NOT(ISERROR(SEARCH("Error",R17)))</formula>
    </cfRule>
  </conditionalFormatting>
  <conditionalFormatting sqref="N17">
    <cfRule type="expression" dxfId="131" priority="67">
      <formula>ISNUMBER(N17)=FALSE</formula>
    </cfRule>
  </conditionalFormatting>
  <conditionalFormatting sqref="H18 K18">
    <cfRule type="expression" dxfId="130" priority="65">
      <formula>ISNUMBER(H18)=FALSE</formula>
    </cfRule>
  </conditionalFormatting>
  <conditionalFormatting sqref="F18:K18">
    <cfRule type="containsBlanks" dxfId="129" priority="62">
      <formula>LEN(TRIM(F18))=0</formula>
    </cfRule>
  </conditionalFormatting>
  <conditionalFormatting sqref="B18:C18">
    <cfRule type="containsBlanks" dxfId="128" priority="63">
      <formula>LEN(TRIM(B18))=0</formula>
    </cfRule>
  </conditionalFormatting>
  <conditionalFormatting sqref="K18">
    <cfRule type="cellIs" dxfId="127" priority="61" operator="lessThan">
      <formula>0</formula>
    </cfRule>
    <cfRule type="cellIs" dxfId="126" priority="66" operator="equal">
      <formula>0</formula>
    </cfRule>
  </conditionalFormatting>
  <conditionalFormatting sqref="H18">
    <cfRule type="cellIs" dxfId="125" priority="64" operator="lessThanOrEqual">
      <formula>0</formula>
    </cfRule>
  </conditionalFormatting>
  <conditionalFormatting sqref="M18">
    <cfRule type="expression" dxfId="124" priority="58">
      <formula>AND(M18=0,L18&lt;&gt;"")</formula>
    </cfRule>
  </conditionalFormatting>
  <conditionalFormatting sqref="L18">
    <cfRule type="expression" dxfId="123" priority="59">
      <formula>AND(L18="",M18&gt;0)</formula>
    </cfRule>
  </conditionalFormatting>
  <conditionalFormatting sqref="L18:M18">
    <cfRule type="cellIs" dxfId="122" priority="60" operator="equal">
      <formula>0</formula>
    </cfRule>
  </conditionalFormatting>
  <conditionalFormatting sqref="R18">
    <cfRule type="containsText" dxfId="121" priority="57" operator="containsText" text="Error">
      <formula>NOT(ISERROR(SEARCH("Error",R18)))</formula>
    </cfRule>
  </conditionalFormatting>
  <conditionalFormatting sqref="N18">
    <cfRule type="expression" dxfId="120" priority="56">
      <formula>ISNUMBER(N18)=FALSE</formula>
    </cfRule>
  </conditionalFormatting>
  <conditionalFormatting sqref="H19 K19">
    <cfRule type="expression" dxfId="119" priority="54">
      <formula>ISNUMBER(H19)=FALSE</formula>
    </cfRule>
  </conditionalFormatting>
  <conditionalFormatting sqref="F19:K19">
    <cfRule type="containsBlanks" dxfId="118" priority="51">
      <formula>LEN(TRIM(F19))=0</formula>
    </cfRule>
  </conditionalFormatting>
  <conditionalFormatting sqref="B19:C19">
    <cfRule type="containsBlanks" dxfId="117" priority="52">
      <formula>LEN(TRIM(B19))=0</formula>
    </cfRule>
  </conditionalFormatting>
  <conditionalFormatting sqref="K19">
    <cfRule type="cellIs" dxfId="116" priority="50" operator="lessThan">
      <formula>0</formula>
    </cfRule>
    <cfRule type="cellIs" dxfId="115" priority="55" operator="equal">
      <formula>0</formula>
    </cfRule>
  </conditionalFormatting>
  <conditionalFormatting sqref="H19">
    <cfRule type="cellIs" dxfId="114" priority="53" operator="lessThanOrEqual">
      <formula>0</formula>
    </cfRule>
  </conditionalFormatting>
  <conditionalFormatting sqref="M19">
    <cfRule type="expression" dxfId="113" priority="47">
      <formula>AND(M19=0,L19&lt;&gt;"")</formula>
    </cfRule>
  </conditionalFormatting>
  <conditionalFormatting sqref="L19">
    <cfRule type="expression" dxfId="112" priority="48">
      <formula>AND(L19="",M19&gt;0)</formula>
    </cfRule>
  </conditionalFormatting>
  <conditionalFormatting sqref="L19:M19">
    <cfRule type="cellIs" dxfId="111" priority="49" operator="equal">
      <formula>0</formula>
    </cfRule>
  </conditionalFormatting>
  <conditionalFormatting sqref="R19">
    <cfRule type="containsText" dxfId="110" priority="46" operator="containsText" text="Error">
      <formula>NOT(ISERROR(SEARCH("Error",R19)))</formula>
    </cfRule>
  </conditionalFormatting>
  <conditionalFormatting sqref="N19">
    <cfRule type="expression" dxfId="109" priority="45">
      <formula>ISNUMBER(N19)=FALSE</formula>
    </cfRule>
  </conditionalFormatting>
  <conditionalFormatting sqref="H20 K20">
    <cfRule type="expression" dxfId="108" priority="43">
      <formula>ISNUMBER(H20)=FALSE</formula>
    </cfRule>
  </conditionalFormatting>
  <conditionalFormatting sqref="F20:K20">
    <cfRule type="containsBlanks" dxfId="107" priority="40">
      <formula>LEN(TRIM(F20))=0</formula>
    </cfRule>
  </conditionalFormatting>
  <conditionalFormatting sqref="B20:C20">
    <cfRule type="containsBlanks" dxfId="106" priority="41">
      <formula>LEN(TRIM(B20))=0</formula>
    </cfRule>
  </conditionalFormatting>
  <conditionalFormatting sqref="K20">
    <cfRule type="cellIs" dxfId="105" priority="39" operator="lessThan">
      <formula>0</formula>
    </cfRule>
    <cfRule type="cellIs" dxfId="104" priority="44" operator="equal">
      <formula>0</formula>
    </cfRule>
  </conditionalFormatting>
  <conditionalFormatting sqref="H20">
    <cfRule type="cellIs" dxfId="103" priority="42" operator="lessThanOrEqual">
      <formula>0</formula>
    </cfRule>
  </conditionalFormatting>
  <conditionalFormatting sqref="M20">
    <cfRule type="expression" dxfId="102" priority="36">
      <formula>AND(M20=0,L20&lt;&gt;"")</formula>
    </cfRule>
  </conditionalFormatting>
  <conditionalFormatting sqref="L20">
    <cfRule type="expression" dxfId="101" priority="37">
      <formula>AND(L20="",M20&gt;0)</formula>
    </cfRule>
  </conditionalFormatting>
  <conditionalFormatting sqref="L20:M20">
    <cfRule type="cellIs" dxfId="100" priority="38" operator="equal">
      <formula>0</formula>
    </cfRule>
  </conditionalFormatting>
  <conditionalFormatting sqref="R20">
    <cfRule type="containsText" dxfId="99" priority="35" operator="containsText" text="Error">
      <formula>NOT(ISERROR(SEARCH("Error",R20)))</formula>
    </cfRule>
  </conditionalFormatting>
  <conditionalFormatting sqref="N20">
    <cfRule type="expression" dxfId="98" priority="34">
      <formula>ISNUMBER(N20)=FALSE</formula>
    </cfRule>
  </conditionalFormatting>
  <conditionalFormatting sqref="H21 K21">
    <cfRule type="expression" dxfId="97" priority="32">
      <formula>ISNUMBER(H21)=FALSE</formula>
    </cfRule>
  </conditionalFormatting>
  <conditionalFormatting sqref="F21:K21">
    <cfRule type="containsBlanks" dxfId="96" priority="29">
      <formula>LEN(TRIM(F21))=0</formula>
    </cfRule>
  </conditionalFormatting>
  <conditionalFormatting sqref="B21:C21">
    <cfRule type="containsBlanks" dxfId="95" priority="30">
      <formula>LEN(TRIM(B21))=0</formula>
    </cfRule>
  </conditionalFormatting>
  <conditionalFormatting sqref="K21">
    <cfRule type="cellIs" dxfId="94" priority="28" operator="lessThan">
      <formula>0</formula>
    </cfRule>
    <cfRule type="cellIs" dxfId="93" priority="33" operator="equal">
      <formula>0</formula>
    </cfRule>
  </conditionalFormatting>
  <conditionalFormatting sqref="H21">
    <cfRule type="cellIs" dxfId="92" priority="31" operator="lessThanOrEqual">
      <formula>0</formula>
    </cfRule>
  </conditionalFormatting>
  <conditionalFormatting sqref="M21">
    <cfRule type="expression" dxfId="91" priority="25">
      <formula>AND(M21=0,L21&lt;&gt;"")</formula>
    </cfRule>
  </conditionalFormatting>
  <conditionalFormatting sqref="L21">
    <cfRule type="expression" dxfId="90" priority="26">
      <formula>AND(L21="",M21&gt;0)</formula>
    </cfRule>
  </conditionalFormatting>
  <conditionalFormatting sqref="L21:M21">
    <cfRule type="cellIs" dxfId="89" priority="27" operator="equal">
      <formula>0</formula>
    </cfRule>
  </conditionalFormatting>
  <conditionalFormatting sqref="R21">
    <cfRule type="containsText" dxfId="88" priority="24" operator="containsText" text="Error">
      <formula>NOT(ISERROR(SEARCH("Error",R21)))</formula>
    </cfRule>
  </conditionalFormatting>
  <conditionalFormatting sqref="N21">
    <cfRule type="expression" dxfId="87" priority="23">
      <formula>ISNUMBER(N21)=FALSE</formula>
    </cfRule>
  </conditionalFormatting>
  <conditionalFormatting sqref="H22 K22">
    <cfRule type="expression" dxfId="86" priority="21">
      <formula>ISNUMBER(H22)=FALSE</formula>
    </cfRule>
  </conditionalFormatting>
  <conditionalFormatting sqref="F22:K22">
    <cfRule type="containsBlanks" dxfId="85" priority="18">
      <formula>LEN(TRIM(F22))=0</formula>
    </cfRule>
  </conditionalFormatting>
  <conditionalFormatting sqref="B22:C22">
    <cfRule type="containsBlanks" dxfId="84" priority="19">
      <formula>LEN(TRIM(B22))=0</formula>
    </cfRule>
  </conditionalFormatting>
  <conditionalFormatting sqref="K22">
    <cfRule type="cellIs" dxfId="83" priority="17" operator="lessThan">
      <formula>0</formula>
    </cfRule>
    <cfRule type="cellIs" dxfId="82" priority="22" operator="equal">
      <formula>0</formula>
    </cfRule>
  </conditionalFormatting>
  <conditionalFormatting sqref="H22">
    <cfRule type="cellIs" dxfId="81" priority="20" operator="lessThanOrEqual">
      <formula>0</formula>
    </cfRule>
  </conditionalFormatting>
  <conditionalFormatting sqref="M22">
    <cfRule type="expression" dxfId="80" priority="14">
      <formula>AND(M22=0,L22&lt;&gt;"")</formula>
    </cfRule>
  </conditionalFormatting>
  <conditionalFormatting sqref="L22">
    <cfRule type="expression" dxfId="79" priority="15">
      <formula>AND(L22="",M22&gt;0)</formula>
    </cfRule>
  </conditionalFormatting>
  <conditionalFormatting sqref="L22:M22">
    <cfRule type="cellIs" dxfId="78" priority="16" operator="equal">
      <formula>0</formula>
    </cfRule>
  </conditionalFormatting>
  <conditionalFormatting sqref="R22">
    <cfRule type="containsText" dxfId="77" priority="13" operator="containsText" text="Error">
      <formula>NOT(ISERROR(SEARCH("Error",R22)))</formula>
    </cfRule>
  </conditionalFormatting>
  <conditionalFormatting sqref="N22">
    <cfRule type="expression" dxfId="76" priority="12">
      <formula>ISNUMBER(N22)=FALSE</formula>
    </cfRule>
  </conditionalFormatting>
  <conditionalFormatting sqref="H23 K23">
    <cfRule type="expression" dxfId="75" priority="10">
      <formula>ISNUMBER(H23)=FALSE</formula>
    </cfRule>
  </conditionalFormatting>
  <conditionalFormatting sqref="F23:K23">
    <cfRule type="containsBlanks" dxfId="74" priority="7">
      <formula>LEN(TRIM(F23))=0</formula>
    </cfRule>
  </conditionalFormatting>
  <conditionalFormatting sqref="B23:C23">
    <cfRule type="containsBlanks" dxfId="73" priority="8">
      <formula>LEN(TRIM(B23))=0</formula>
    </cfRule>
  </conditionalFormatting>
  <conditionalFormatting sqref="K23">
    <cfRule type="cellIs" dxfId="72" priority="6" operator="lessThan">
      <formula>0</formula>
    </cfRule>
    <cfRule type="cellIs" dxfId="71" priority="11" operator="equal">
      <formula>0</formula>
    </cfRule>
  </conditionalFormatting>
  <conditionalFormatting sqref="H23">
    <cfRule type="cellIs" dxfId="70" priority="9" operator="lessThanOrEqual">
      <formula>0</formula>
    </cfRule>
  </conditionalFormatting>
  <conditionalFormatting sqref="M23">
    <cfRule type="expression" dxfId="69" priority="3">
      <formula>AND(M23=0,L23&lt;&gt;"")</formula>
    </cfRule>
  </conditionalFormatting>
  <conditionalFormatting sqref="L23">
    <cfRule type="expression" dxfId="68" priority="4">
      <formula>AND(L23="",M23&gt;0)</formula>
    </cfRule>
  </conditionalFormatting>
  <conditionalFormatting sqref="L23:M23">
    <cfRule type="cellIs" dxfId="67" priority="5" operator="equal">
      <formula>0</formula>
    </cfRule>
  </conditionalFormatting>
  <conditionalFormatting sqref="R23">
    <cfRule type="containsText" dxfId="66" priority="2" operator="containsText" text="Error">
      <formula>NOT(ISERROR(SEARCH("Error",R23)))</formula>
    </cfRule>
  </conditionalFormatting>
  <conditionalFormatting sqref="N23">
    <cfRule type="expression" dxfId="65" priority="1">
      <formula>ISNUMBER(N23)=FALSE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3" xr:uid="{00000000-0002-0000-0300-000000000000}"/>
    <dataValidation allowBlank="1" showInputMessage="1" showErrorMessage="1" error="Please encode City of Destination" prompt="Please encode City of Destination" sqref="I13:I23" xr:uid="{00000000-0002-0000-0300-000001000000}"/>
    <dataValidation type="whole" allowBlank="1" showInputMessage="1" showErrorMessage="1" error="Format error (whole number only)" prompt="Please encode number (whole number only)" sqref="H13:H23" xr:uid="{00000000-0002-0000-0300-000002000000}">
      <formula1>0</formula1>
      <formula2>50000</formula2>
    </dataValidation>
    <dataValidation allowBlank="1" showInputMessage="1" showErrorMessage="1" error="Please encode City of Departure" prompt="Please encode City of Departure" sqref="F13:F23"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23" xr:uid="{00000000-0002-0000-0300-000004000000}">
      <formula1>0</formula1>
      <formula2>90</formula2>
    </dataValidation>
    <dataValidation type="list" allowBlank="1" showInputMessage="1" showErrorMessage="1" error="Click arrow to select Category" prompt="Click arrow to select Category" sqref="G13:G23" xr:uid="{00000000-0002-0000-0300-000005000000}">
      <formula1>Category2</formula1>
    </dataValidation>
    <dataValidation type="list" allowBlank="1" showInputMessage="1" showErrorMessage="1" error="Click arrow to select Work Package" prompt="Click arrow to select Work Package" sqref="B13:B23" xr:uid="{00000000-0002-0000-0300-000006000000}">
      <formula1>WorkPackage</formula1>
    </dataValidation>
    <dataValidation type="list" allowBlank="1" showInputMessage="1" showErrorMessage="1" error="Click arrow to select Distance" prompt="Click arrow to select Distance" sqref="J13:J23" xr:uid="{00000000-0002-0000-0300-000007000000}">
      <formula1>TravelBands</formula1>
    </dataValidation>
    <dataValidation type="list" allowBlank="1" showInputMessage="1" showErrorMessage="1" error="Click arrow to select Partner N°" prompt="Click arrow to select Partner N°" sqref="C13:C23" xr:uid="{00000000-0002-0000-0300-000008000000}">
      <formula1>PartnerN°</formula1>
    </dataValidation>
    <dataValidation type="list" allowBlank="1" showInputMessage="1" showErrorMessage="1" errorTitle="Select correct option" error="Please use the drop down menu to select the correct option" sqref="L13:L23" xr:uid="{00000000-0002-0000-0300-000009000000}">
      <formula1>Exceptional_costs</formula1>
    </dataValidation>
    <dataValidation type="decimal" operator="greaterThanOrEqual" allowBlank="1" showInputMessage="1" showErrorMessage="1" errorTitle="Warning: Cost must be number" error="Please enter a numeric value." sqref="M13:M23"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C14" sqref="C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185</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184</v>
      </c>
      <c r="C4" s="177">
        <f>SUM(H:H)</f>
        <v>270000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162</v>
      </c>
      <c r="C11" s="121" t="s">
        <v>147</v>
      </c>
      <c r="D11" s="121" t="s">
        <v>216</v>
      </c>
      <c r="E11" s="173" t="s">
        <v>217</v>
      </c>
      <c r="F11" s="123" t="s">
        <v>132</v>
      </c>
      <c r="G11" s="172" t="s">
        <v>165</v>
      </c>
      <c r="H11" s="172" t="s">
        <v>164</v>
      </c>
      <c r="I11" s="172" t="s">
        <v>218</v>
      </c>
    </row>
    <row r="12" spans="2:9" ht="23.85" customHeight="1" x14ac:dyDescent="0.35">
      <c r="B12" s="122"/>
      <c r="C12" s="122"/>
      <c r="D12" s="122"/>
      <c r="E12" s="123"/>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173</v>
      </c>
      <c r="C14" s="19" t="s">
        <v>12</v>
      </c>
      <c r="D14" s="42" t="str">
        <f>IFERROR(IF(VLOOKUP(C14,PartnerN°Ref,2,FALSE)=0,"",VLOOKUP(C14,PartnerN°Ref,2,FALSE)),"")</f>
        <v>Rescue animals of North Africa</v>
      </c>
      <c r="E14" s="42" t="str">
        <f>IFERROR(IF(OR(VLOOKUP(C14,PartnerN°Ref,4,FALSE)="Country not found",VLOOKUP(C14,PartnerN°Ref,3,FALSE)=0),"",VLOOKUP(C14,PartnerN°Ref,3,FALSE)),"")</f>
        <v>Tunisia</v>
      </c>
      <c r="F14" s="18" t="s">
        <v>386</v>
      </c>
      <c r="G14" s="35">
        <v>120000</v>
      </c>
      <c r="H14" s="36">
        <f>IF(I14="Error",0,ROUND(G14,2))</f>
        <v>120000</v>
      </c>
      <c r="I14" s="33" t="str">
        <f>IF(OR(COUNTIF(WorkPackage,B14)=0,COUNTIF(PartnerN°,C14)=0,D14="",COUNTIF(CountryEligEquip,E14)=0,F14="",ISNUMBER(G14)=FALSE,IF(ISNUMBER(G14)=TRUE,G14=INT(G14*100)/100=FALSE)),"Error","")</f>
        <v/>
      </c>
    </row>
    <row r="15" spans="2:9" s="34" customFormat="1" x14ac:dyDescent="0.3">
      <c r="B15" s="14" t="s">
        <v>173</v>
      </c>
      <c r="C15" s="19" t="s">
        <v>10</v>
      </c>
      <c r="D15" s="42" t="str">
        <f>IFERROR(IF(VLOOKUP(C15,PartnerN°Ref,2,FALSE)=0,"",VLOOKUP(C15,PartnerN°Ref,2,FALSE)),"")</f>
        <v>Cairo University</v>
      </c>
      <c r="E15" s="42" t="str">
        <f>IFERROR(IF(OR(VLOOKUP(C15,PartnerN°Ref,4,FALSE)="Country not found",VLOOKUP(C15,PartnerN°Ref,3,FALSE)=0),"",VLOOKUP(C15,PartnerN°Ref,3,FALSE)),"")</f>
        <v>Egypt</v>
      </c>
      <c r="F15" s="18" t="s">
        <v>374</v>
      </c>
      <c r="G15" s="35">
        <v>100000</v>
      </c>
      <c r="H15" s="36">
        <f>IF(I15="Error",0,ROUND(G15,2))</f>
        <v>100000</v>
      </c>
      <c r="I15" s="33" t="str">
        <f>IF(OR(COUNTIF(WorkPackage,B15)=0,COUNTIF(PartnerN°,C15)=0,D15="",COUNTIF(CountryEligEquip,E15)=0,F15="",ISNUMBER(G15)=FALSE,IF(ISNUMBER(G15)=TRUE,G15=INT(G15*100)/100=FALSE)),"Error","")</f>
        <v/>
      </c>
    </row>
    <row r="16" spans="2:9" s="34" customFormat="1" x14ac:dyDescent="0.3">
      <c r="B16" s="14" t="s">
        <v>173</v>
      </c>
      <c r="C16" s="19" t="s">
        <v>12</v>
      </c>
      <c r="D16" s="42" t="str">
        <f>IFERROR(IF(VLOOKUP(C16,PartnerN°Ref,2,FALSE)=0,"",VLOOKUP(C16,PartnerN°Ref,2,FALSE)),"")</f>
        <v>Rescue animals of North Africa</v>
      </c>
      <c r="E16" s="42" t="str">
        <f>IFERROR(IF(OR(VLOOKUP(C16,PartnerN°Ref,4,FALSE)="Country not found",VLOOKUP(C16,PartnerN°Ref,3,FALSE)=0),"",VLOOKUP(C16,PartnerN°Ref,3,FALSE)),"")</f>
        <v>Tunisia</v>
      </c>
      <c r="F16" s="18" t="s">
        <v>375</v>
      </c>
      <c r="G16" s="35">
        <v>50000</v>
      </c>
      <c r="H16" s="36">
        <f>IF(I16="Error",0,ROUND(G16,2))</f>
        <v>50000</v>
      </c>
      <c r="I16" s="33" t="str">
        <f>IF(OR(COUNTIF(WorkPackage,B16)=0,COUNTIF(PartnerN°,C16)=0,D16="",COUNTIF(CountryEligEquip,E16)=0,F16="",ISNUMBER(G16)=FALSE,IF(ISNUMBER(G16)=TRUE,G16=INT(G16*100)/100=FALSE)),"Error","")</f>
        <v/>
      </c>
    </row>
  </sheetData>
  <sheetProtection algorithmName="SHA-512" hashValue="8VROHxbU9jkVw18RdjrLtMwk7wb9TqlCPbOFemzg79zMecTF8vq5e55otobXRQKXTLWTBccMmy8bvUSE9hMwSQ==" saltValue="pVYFPMvZF5guUIo7v4Jxr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64" priority="376" operator="containsText" text="Error">
      <formula>NOT(ISERROR(SEARCH("Error",I13)))</formula>
    </cfRule>
  </conditionalFormatting>
  <conditionalFormatting sqref="D13:E16">
    <cfRule type="containsBlanks" dxfId="63" priority="371">
      <formula>LEN(TRIM(D13))=0</formula>
    </cfRule>
  </conditionalFormatting>
  <conditionalFormatting sqref="E13">
    <cfRule type="expression" dxfId="62" priority="293">
      <formula>COUNTIF(CountryEligEquip,E13)=0</formula>
    </cfRule>
  </conditionalFormatting>
  <conditionalFormatting sqref="E14">
    <cfRule type="expression" dxfId="61" priority="294">
      <formula>COUNTIF(CountryEligEquip,E14)=0</formula>
    </cfRule>
  </conditionalFormatting>
  <conditionalFormatting sqref="G13">
    <cfRule type="cellIs" dxfId="60" priority="22" operator="lessThanOrEqual">
      <formula>0</formula>
    </cfRule>
  </conditionalFormatting>
  <conditionalFormatting sqref="F13:G13">
    <cfRule type="containsBlanks" dxfId="59" priority="19">
      <formula>LEN(TRIM(F13))=0</formula>
    </cfRule>
  </conditionalFormatting>
  <conditionalFormatting sqref="G14">
    <cfRule type="cellIs" dxfId="58" priority="18" operator="lessThanOrEqual">
      <formula>0</formula>
    </cfRule>
  </conditionalFormatting>
  <conditionalFormatting sqref="F14:G14">
    <cfRule type="containsBlanks" dxfId="57" priority="17">
      <formula>LEN(TRIM(F14))=0</formula>
    </cfRule>
  </conditionalFormatting>
  <conditionalFormatting sqref="B13:C13">
    <cfRule type="containsBlanks" dxfId="56" priority="16">
      <formula>LEN(TRIM(B13))=0</formula>
    </cfRule>
  </conditionalFormatting>
  <conditionalFormatting sqref="B14:C14">
    <cfRule type="containsBlanks" dxfId="55" priority="15">
      <formula>LEN(TRIM(B14))=0</formula>
    </cfRule>
  </conditionalFormatting>
  <conditionalFormatting sqref="E15">
    <cfRule type="expression" dxfId="54" priority="8">
      <formula>COUNTIF(CountryEligEquip,E15)=0</formula>
    </cfRule>
  </conditionalFormatting>
  <conditionalFormatting sqref="G15">
    <cfRule type="cellIs" dxfId="53" priority="7" operator="lessThanOrEqual">
      <formula>0</formula>
    </cfRule>
  </conditionalFormatting>
  <conditionalFormatting sqref="F15:G15">
    <cfRule type="containsBlanks" dxfId="52" priority="6">
      <formula>LEN(TRIM(F15))=0</formula>
    </cfRule>
  </conditionalFormatting>
  <conditionalFormatting sqref="B15:C15">
    <cfRule type="containsBlanks" dxfId="51" priority="5">
      <formula>LEN(TRIM(B15))=0</formula>
    </cfRule>
  </conditionalFormatting>
  <conditionalFormatting sqref="E16">
    <cfRule type="expression" dxfId="50" priority="4">
      <formula>COUNTIF(CountryEligEquip,E16)=0</formula>
    </cfRule>
  </conditionalFormatting>
  <conditionalFormatting sqref="G16">
    <cfRule type="cellIs" dxfId="49" priority="3" operator="lessThanOrEqual">
      <formula>0</formula>
    </cfRule>
  </conditionalFormatting>
  <conditionalFormatting sqref="F16:G16">
    <cfRule type="containsBlanks" dxfId="48" priority="2">
      <formula>LEN(TRIM(F16))=0</formula>
    </cfRule>
  </conditionalFormatting>
  <conditionalFormatting sqref="B16:C16">
    <cfRule type="containsBlanks" dxfId="47" priority="1">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topLeftCell="C1" zoomScale="70" zoomScaleNormal="70" zoomScaleSheetLayoutView="55" workbookViewId="0">
      <pane ySplit="13" topLeftCell="A14" activePane="bottomLeft" state="frozen"/>
      <selection pane="bottomLeft" activeCell="G17" sqref="G1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186</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184</v>
      </c>
      <c r="C4" s="177">
        <f>SUM(H:H)</f>
        <v>63000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162</v>
      </c>
      <c r="C11" s="121" t="s">
        <v>147</v>
      </c>
      <c r="D11" s="121" t="s">
        <v>216</v>
      </c>
      <c r="E11" s="121" t="s">
        <v>217</v>
      </c>
      <c r="F11" s="123" t="s">
        <v>132</v>
      </c>
      <c r="G11" s="172" t="s">
        <v>165</v>
      </c>
      <c r="H11" s="172" t="s">
        <v>164</v>
      </c>
      <c r="I11" s="172" t="s">
        <v>218</v>
      </c>
    </row>
    <row r="12" spans="2:9" ht="23.85" customHeight="1" x14ac:dyDescent="0.35">
      <c r="B12" s="122"/>
      <c r="C12" s="122"/>
      <c r="D12" s="122"/>
      <c r="E12" s="122"/>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173</v>
      </c>
      <c r="C14" s="19" t="s">
        <v>11</v>
      </c>
      <c r="D14" s="42" t="str">
        <f>IFERROR(IF(VLOOKUP(C14,PartnerN°Ref,2,FALSE)=0,"",VLOOKUP(C14,PartnerN°Ref,2,FALSE)),"")</f>
        <v>Unversity of Belgrade</v>
      </c>
      <c r="E14" s="42" t="str">
        <f>IFERROR(IF(OR(VLOOKUP(C14,PartnerN°Ref,4,FALSE)="Country not found",VLOOKUP(C14,PartnerN°Ref,3,FALSE)=0),"",VLOOKUP(C14,PartnerN°Ref,3,FALSE)),"")</f>
        <v>Serbia</v>
      </c>
      <c r="F14" s="18" t="s">
        <v>376</v>
      </c>
      <c r="G14" s="35">
        <v>18000</v>
      </c>
      <c r="H14" s="36">
        <f>IF(I14="Error",0,ROUND(G14,2))</f>
        <v>18000</v>
      </c>
      <c r="I14" s="33" t="str">
        <f>IF(OR(COUNTIF(WorkPackage,B14)=0,COUNTIF(PartnerN°,C14)=0,D14="",COUNTIF(CountryALL,E14)=0,F14="",ISNUMBER(G14)=FALSE,IF(ISNUMBER(G14)=TRUE,G14=INT(G14*100)/100=FALSE)),"Error","")</f>
        <v/>
      </c>
    </row>
    <row r="15" spans="2:9" s="34" customFormat="1" x14ac:dyDescent="0.3">
      <c r="B15" s="14" t="s">
        <v>319</v>
      </c>
      <c r="C15" s="19" t="s">
        <v>11</v>
      </c>
      <c r="D15" s="42" t="str">
        <f>IFERROR(IF(VLOOKUP(C15,PartnerN°Ref,2,FALSE)=0,"",VLOOKUP(C15,PartnerN°Ref,2,FALSE)),"")</f>
        <v>Unversity of Belgrade</v>
      </c>
      <c r="E15" s="42" t="str">
        <f>IFERROR(IF(OR(VLOOKUP(C15,PartnerN°Ref,4,FALSE)="Country not found",VLOOKUP(C15,PartnerN°Ref,3,FALSE)=0),"",VLOOKUP(C15,PartnerN°Ref,3,FALSE)),"")</f>
        <v>Serbia</v>
      </c>
      <c r="F15" s="18" t="s">
        <v>377</v>
      </c>
      <c r="G15" s="35">
        <v>12000</v>
      </c>
      <c r="H15" s="36">
        <f>IF(I15="Error",0,ROUND(G15,2))</f>
        <v>12000</v>
      </c>
      <c r="I15" s="33" t="str">
        <f>IF(OR(COUNTIF(WorkPackage,B15)=0,COUNTIF(PartnerN°,C15)=0,D15="",COUNTIF(CountryALL,E15)=0,F15="",ISNUMBER(G15)=FALSE,IF(ISNUMBER(G15)=TRUE,G15=INT(G15*100)/100=FALSE)),"Error","")</f>
        <v/>
      </c>
    </row>
    <row r="16" spans="2:9" s="34" customFormat="1" x14ac:dyDescent="0.3">
      <c r="B16" s="14" t="s">
        <v>319</v>
      </c>
      <c r="C16" s="19" t="s">
        <v>10</v>
      </c>
      <c r="D16" s="42" t="str">
        <f>IFERROR(IF(VLOOKUP(C16,PartnerN°Ref,2,FALSE)=0,"",VLOOKUP(C16,PartnerN°Ref,2,FALSE)),"")</f>
        <v>Cairo University</v>
      </c>
      <c r="E16" s="42" t="str">
        <f>IFERROR(IF(OR(VLOOKUP(C16,PartnerN°Ref,4,FALSE)="Country not found",VLOOKUP(C16,PartnerN°Ref,3,FALSE)=0),"",VLOOKUP(C16,PartnerN°Ref,3,FALSE)),"")</f>
        <v>Egypt</v>
      </c>
      <c r="F16" s="18" t="s">
        <v>378</v>
      </c>
      <c r="G16" s="35">
        <v>13000</v>
      </c>
      <c r="H16" s="36">
        <f>IF(I16="Error",0,ROUND(G16,2))</f>
        <v>13000</v>
      </c>
      <c r="I16" s="33" t="str">
        <f>IF(OR(COUNTIF(WorkPackage,B16)=0,COUNTIF(PartnerN°,C16)=0,D16="",COUNTIF(CountryALL,E16)=0,F16="",ISNUMBER(G16)=FALSE,IF(ISNUMBER(G16)=TRUE,G16=INT(G16*100)/100=FALSE)),"Error","")</f>
        <v/>
      </c>
    </row>
    <row r="17" spans="2:9" s="34" customFormat="1" x14ac:dyDescent="0.3">
      <c r="B17" s="14" t="s">
        <v>174</v>
      </c>
      <c r="C17" s="19" t="s">
        <v>8</v>
      </c>
      <c r="D17" s="42" t="str">
        <f>IFERROR(IF(VLOOKUP(C17,PartnerN°Ref,2,FALSE)=0,"",VLOOKUP(C17,PartnerN°Ref,2,FALSE)),"")</f>
        <v>SPCA Straż Zwierzat Polska</v>
      </c>
      <c r="E17" s="42" t="str">
        <f>IFERROR(IF(OR(VLOOKUP(C17,PartnerN°Ref,4,FALSE)="Country not found",VLOOKUP(C17,PartnerN°Ref,3,FALSE)=0),"",VLOOKUP(C17,PartnerN°Ref,3,FALSE)),"")</f>
        <v>Poland</v>
      </c>
      <c r="F17" s="18" t="s">
        <v>379</v>
      </c>
      <c r="G17" s="35">
        <v>20000</v>
      </c>
      <c r="H17" s="36">
        <f>IF(I17="Error",0,ROUND(G17,2))</f>
        <v>20000</v>
      </c>
      <c r="I17" s="33" t="str">
        <f>IF(OR(COUNTIF(WorkPackage,B17)=0,COUNTIF(PartnerN°,C17)=0,D17="",COUNTIF(CountryALL,E17)=0,F17="",ISNUMBER(G17)=FALSE,IF(ISNUMBER(G17)=TRUE,G17=INT(G17*100)/100=FALSE)),"Error","")</f>
        <v/>
      </c>
    </row>
  </sheetData>
  <sheetProtection algorithmName="SHA-512" hashValue="vKnMaEfVxFOSYT+FEIUzq8g2GgT2osHlXQyUCj566Lp788erSvMAvcVcli/1ycxo/F+p2o9gejH6a6yLfUJS2w==" saltValue="Hdgcb7i6l9m+Zy2Ligtpng=="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7">
    <cfRule type="containsText" dxfId="46" priority="198" operator="containsText" text="Error">
      <formula>NOT(ISERROR(SEARCH("Error",I13)))</formula>
    </cfRule>
  </conditionalFormatting>
  <conditionalFormatting sqref="D13:E17">
    <cfRule type="containsBlanks" dxfId="45" priority="192">
      <formula>LEN(TRIM(D13))=0</formula>
    </cfRule>
  </conditionalFormatting>
  <conditionalFormatting sqref="G13">
    <cfRule type="cellIs" dxfId="44" priority="17" operator="lessThanOrEqual">
      <formula>0</formula>
    </cfRule>
  </conditionalFormatting>
  <conditionalFormatting sqref="F13:G13">
    <cfRule type="containsBlanks" dxfId="43" priority="14">
      <formula>LEN(TRIM(F13))=0</formula>
    </cfRule>
  </conditionalFormatting>
  <conditionalFormatting sqref="G14">
    <cfRule type="cellIs" dxfId="42" priority="13" operator="lessThanOrEqual">
      <formula>0</formula>
    </cfRule>
  </conditionalFormatting>
  <conditionalFormatting sqref="F14:G14">
    <cfRule type="containsBlanks" dxfId="41" priority="12">
      <formula>LEN(TRIM(F14))=0</formula>
    </cfRule>
  </conditionalFormatting>
  <conditionalFormatting sqref="B13:C13">
    <cfRule type="containsBlanks" dxfId="40" priority="11">
      <formula>LEN(TRIM(B13))=0</formula>
    </cfRule>
  </conditionalFormatting>
  <conditionalFormatting sqref="B14:C14">
    <cfRule type="containsBlanks" dxfId="39" priority="10">
      <formula>LEN(TRIM(B14))=0</formula>
    </cfRule>
  </conditionalFormatting>
  <conditionalFormatting sqref="G15">
    <cfRule type="cellIs" dxfId="38" priority="9" operator="lessThanOrEqual">
      <formula>0</formula>
    </cfRule>
  </conditionalFormatting>
  <conditionalFormatting sqref="F15:G15">
    <cfRule type="containsBlanks" dxfId="37" priority="8">
      <formula>LEN(TRIM(F15))=0</formula>
    </cfRule>
  </conditionalFormatting>
  <conditionalFormatting sqref="B15:C15">
    <cfRule type="containsBlanks" dxfId="36" priority="7">
      <formula>LEN(TRIM(B15))=0</formula>
    </cfRule>
  </conditionalFormatting>
  <conditionalFormatting sqref="G16">
    <cfRule type="cellIs" dxfId="35" priority="6" operator="lessThanOrEqual">
      <formula>0</formula>
    </cfRule>
  </conditionalFormatting>
  <conditionalFormatting sqref="F16:G16">
    <cfRule type="containsBlanks" dxfId="34" priority="5">
      <formula>LEN(TRIM(F16))=0</formula>
    </cfRule>
  </conditionalFormatting>
  <conditionalFormatting sqref="B16:C16">
    <cfRule type="containsBlanks" dxfId="33" priority="4">
      <formula>LEN(TRIM(B16))=0</formula>
    </cfRule>
  </conditionalFormatting>
  <conditionalFormatting sqref="G17">
    <cfRule type="cellIs" dxfId="32" priority="3" operator="lessThanOrEqual">
      <formula>0</formula>
    </cfRule>
  </conditionalFormatting>
  <conditionalFormatting sqref="F17:G17">
    <cfRule type="containsBlanks" dxfId="31" priority="2">
      <formula>LEN(TRIM(F17))=0</formula>
    </cfRule>
  </conditionalFormatting>
  <conditionalFormatting sqref="B17:C17">
    <cfRule type="containsBlanks" dxfId="30"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F16" sqref="F16"/>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20" t="s">
        <v>199</v>
      </c>
      <c r="C2" s="120"/>
      <c r="D2" s="120"/>
      <c r="E2" s="120"/>
      <c r="F2" s="120"/>
      <c r="G2" s="120"/>
      <c r="H2" s="120"/>
      <c r="I2" s="120"/>
      <c r="J2" s="120"/>
    </row>
    <row r="3" spans="2:10" s="20" customFormat="1" ht="8.1" customHeight="1" x14ac:dyDescent="0.35">
      <c r="B3" s="139"/>
      <c r="C3" s="140"/>
      <c r="D3" s="140"/>
      <c r="E3" s="140"/>
      <c r="F3" s="140"/>
      <c r="G3" s="140"/>
      <c r="H3" s="140"/>
      <c r="I3" s="140"/>
      <c r="J3" s="141"/>
    </row>
    <row r="4" spans="2:10" s="20" customFormat="1" ht="9.9" customHeight="1" x14ac:dyDescent="0.35">
      <c r="B4" s="186" t="s">
        <v>184</v>
      </c>
      <c r="C4" s="183">
        <f>SUM(I:I)</f>
        <v>133000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31"/>
      <c r="C10" s="138"/>
      <c r="D10" s="138"/>
      <c r="E10" s="138"/>
      <c r="F10" s="138"/>
      <c r="G10" s="138"/>
      <c r="H10" s="138"/>
      <c r="I10" s="138"/>
      <c r="J10" s="132"/>
    </row>
    <row r="11" spans="2:10" s="45" customFormat="1" ht="42" customHeight="1" x14ac:dyDescent="0.35">
      <c r="B11" s="121" t="s">
        <v>147</v>
      </c>
      <c r="C11" s="121" t="s">
        <v>216</v>
      </c>
      <c r="D11" s="121" t="s">
        <v>217</v>
      </c>
      <c r="E11" s="121" t="s">
        <v>188</v>
      </c>
      <c r="F11" s="123" t="s">
        <v>189</v>
      </c>
      <c r="G11" s="123" t="s">
        <v>190</v>
      </c>
      <c r="H11" s="172" t="s">
        <v>165</v>
      </c>
      <c r="I11" s="172" t="s">
        <v>164</v>
      </c>
      <c r="J11" s="172" t="s">
        <v>218</v>
      </c>
    </row>
    <row r="12" spans="2:10" ht="23.85" customHeight="1" x14ac:dyDescent="0.35">
      <c r="B12" s="122"/>
      <c r="C12" s="122"/>
      <c r="D12" s="122"/>
      <c r="E12" s="122"/>
      <c r="F12" s="122"/>
      <c r="G12" s="122"/>
      <c r="H12" s="122"/>
      <c r="I12" s="122"/>
      <c r="J12" s="12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8</v>
      </c>
      <c r="C14" s="42" t="str">
        <f>IFERROR(IF(VLOOKUP(B14,PartnerN°Ref,2,FALSE)=0,"",VLOOKUP(B14,PartnerN°Ref,2,FALSE)),"")</f>
        <v>SPCA Straż Zwierzat Polska</v>
      </c>
      <c r="D14" s="42" t="str">
        <f>IFERROR(IF(OR(VLOOKUP(B14,PartnerN°Ref,4,FALSE)="Country not found",VLOOKUP(B14,PartnerN°Ref,3,FALSE)=0),"",VLOOKUP(B14,PartnerN°Ref,3,FALSE)),"")</f>
        <v>Poland</v>
      </c>
      <c r="E14" s="18" t="s">
        <v>381</v>
      </c>
      <c r="F14" s="18" t="s">
        <v>367</v>
      </c>
      <c r="G14" s="18" t="s">
        <v>382</v>
      </c>
      <c r="H14" s="35">
        <v>40500</v>
      </c>
      <c r="I14" s="36">
        <f>IF(J14="Error",0,ROUND(H14,2))</f>
        <v>40500</v>
      </c>
      <c r="J14" s="33" t="str">
        <f>IF(OR(COUNTIF(PartnerN°,B14)=0,C14="",COUNTIF(CountryALL,D14)=0,E14="",F14="",G14="",ISNUMBER(H14)=FALSE,IF(ISNUMBER(H14)=TRUE,H14=INT(H14*100)/100=FALSE)),"Error","")</f>
        <v/>
      </c>
    </row>
    <row r="15" spans="2:10" s="34" customFormat="1" ht="36" x14ac:dyDescent="0.3">
      <c r="B15" s="19" t="s">
        <v>9</v>
      </c>
      <c r="C15" s="42" t="str">
        <f>IFERROR(IF(VLOOKUP(B15,PartnerN°Ref,2,FALSE)=0,"",VLOOKUP(B15,PartnerN°Ref,2,FALSE)),"")</f>
        <v>University of California</v>
      </c>
      <c r="D15" s="42" t="str">
        <f>IFERROR(IF(OR(VLOOKUP(B15,PartnerN°Ref,4,FALSE)="Country not found",VLOOKUP(B15,PartnerN°Ref,3,FALSE)=0),"",VLOOKUP(B15,PartnerN°Ref,3,FALSE)),"")</f>
        <v>Spain</v>
      </c>
      <c r="E15" s="18" t="s">
        <v>380</v>
      </c>
      <c r="F15" s="18" t="s">
        <v>385</v>
      </c>
      <c r="G15" s="18" t="s">
        <v>383</v>
      </c>
      <c r="H15" s="35">
        <v>42500</v>
      </c>
      <c r="I15" s="36">
        <f>IF(J15="Error",0,ROUND(H15,2))</f>
        <v>42500</v>
      </c>
      <c r="J15" s="33" t="str">
        <f>IF(OR(COUNTIF(PartnerN°,B15)=0,C15="",COUNTIF(CountryALL,D15)=0,E15="",F15="",G15="",ISNUMBER(H15)=FALSE,IF(ISNUMBER(H15)=TRUE,H15=INT(H15*100)/100=FALSE)),"Error","")</f>
        <v/>
      </c>
    </row>
    <row r="16" spans="2:10" s="34" customFormat="1" x14ac:dyDescent="0.3">
      <c r="B16" s="19" t="s">
        <v>10</v>
      </c>
      <c r="C16" s="42" t="str">
        <f>IFERROR(IF(VLOOKUP(B16,PartnerN°Ref,2,FALSE)=0,"",VLOOKUP(B16,PartnerN°Ref,2,FALSE)),"")</f>
        <v>Cairo University</v>
      </c>
      <c r="D16" s="42" t="str">
        <f>IFERROR(IF(OR(VLOOKUP(B16,PartnerN°Ref,4,FALSE)="Country not found",VLOOKUP(B16,PartnerN°Ref,3,FALSE)=0),"",VLOOKUP(B16,PartnerN°Ref,3,FALSE)),"")</f>
        <v>Egypt</v>
      </c>
      <c r="E16" s="18" t="s">
        <v>380</v>
      </c>
      <c r="F16" s="18" t="s">
        <v>365</v>
      </c>
      <c r="G16" s="18" t="s">
        <v>384</v>
      </c>
      <c r="H16" s="35">
        <v>50000</v>
      </c>
      <c r="I16" s="36">
        <f>IF(J16="Error",0,ROUND(H16,2))</f>
        <v>50000</v>
      </c>
      <c r="J16" s="33" t="str">
        <f>IF(OR(COUNTIF(PartnerN°,B16)=0,C16="",COUNTIF(CountryALL,D16)=0,E16="",F16="",G16="",ISNUMBER(H16)=FALSE,IF(ISNUMBER(H16)=TRUE,H16=INT(H16*100)/100=FALSE)),"Error","")</f>
        <v/>
      </c>
    </row>
    <row r="18" spans="2:2" x14ac:dyDescent="0.35">
      <c r="B18" s="39" t="s">
        <v>219</v>
      </c>
    </row>
    <row r="19" spans="2:2" x14ac:dyDescent="0.35">
      <c r="B19" s="39" t="s">
        <v>220</v>
      </c>
    </row>
    <row r="20" spans="2:2" x14ac:dyDescent="0.35">
      <c r="B20" s="39" t="s">
        <v>221</v>
      </c>
    </row>
  </sheetData>
  <sheetProtection algorithmName="SHA-512" hashValue="eNtJxbbCti6UW++9+ewy/rHP2E4HtCxvAOqE2PyUPNU8pXAfPRvOHbeZa/V2BXpNPqU/Tos4hev6EzT7yIzydw==" saltValue="2Kij2oYLOV5GFam3Mmaqr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6">
    <cfRule type="containsText" dxfId="29" priority="150" operator="containsText" text="Error">
      <formula>NOT(ISERROR(SEARCH("Error",J13)))</formula>
    </cfRule>
  </conditionalFormatting>
  <conditionalFormatting sqref="C13:D16">
    <cfRule type="containsBlanks" dxfId="28" priority="143">
      <formula>LEN(TRIM(C13))=0</formula>
    </cfRule>
  </conditionalFormatting>
  <conditionalFormatting sqref="H13">
    <cfRule type="cellIs" dxfId="27" priority="14" operator="lessThanOrEqual">
      <formula>0</formula>
    </cfRule>
  </conditionalFormatting>
  <conditionalFormatting sqref="E13:H13">
    <cfRule type="containsBlanks" dxfId="26" priority="11">
      <formula>LEN(TRIM(E13))=0</formula>
    </cfRule>
  </conditionalFormatting>
  <conditionalFormatting sqref="H14">
    <cfRule type="cellIs" dxfId="25" priority="10" operator="lessThanOrEqual">
      <formula>0</formula>
    </cfRule>
  </conditionalFormatting>
  <conditionalFormatting sqref="E14:H14">
    <cfRule type="containsBlanks" dxfId="24" priority="9">
      <formula>LEN(TRIM(E14))=0</formula>
    </cfRule>
  </conditionalFormatting>
  <conditionalFormatting sqref="B13">
    <cfRule type="containsBlanks" dxfId="23" priority="8">
      <formula>LEN(TRIM(B13))=0</formula>
    </cfRule>
  </conditionalFormatting>
  <conditionalFormatting sqref="B14">
    <cfRule type="containsBlanks" dxfId="22" priority="7">
      <formula>LEN(TRIM(B14))=0</formula>
    </cfRule>
  </conditionalFormatting>
  <conditionalFormatting sqref="H15">
    <cfRule type="cellIs" dxfId="21" priority="6" operator="lessThanOrEqual">
      <formula>0</formula>
    </cfRule>
  </conditionalFormatting>
  <conditionalFormatting sqref="E15:H15">
    <cfRule type="containsBlanks" dxfId="20" priority="5">
      <formula>LEN(TRIM(E15))=0</formula>
    </cfRule>
  </conditionalFormatting>
  <conditionalFormatting sqref="B15">
    <cfRule type="containsBlanks" dxfId="19" priority="4">
      <formula>LEN(TRIM(B15))=0</formula>
    </cfRule>
  </conditionalFormatting>
  <conditionalFormatting sqref="H16">
    <cfRule type="cellIs" dxfId="18" priority="3" operator="lessThanOrEqual">
      <formula>0</formula>
    </cfRule>
  </conditionalFormatting>
  <conditionalFormatting sqref="E16:H16">
    <cfRule type="containsBlanks" dxfId="17" priority="2">
      <formula>LEN(TRIM(E16))=0</formula>
    </cfRule>
  </conditionalFormatting>
  <conditionalFormatting sqref="B16">
    <cfRule type="containsBlanks" dxfId="16" priority="1">
      <formula>LEN(TRIM(B16))=0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3"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20" t="s">
        <v>178</v>
      </c>
      <c r="C2" s="120"/>
      <c r="D2" s="120"/>
      <c r="E2" s="120"/>
      <c r="F2" s="120"/>
      <c r="G2" s="120"/>
      <c r="H2" s="120"/>
      <c r="I2" s="120"/>
    </row>
    <row r="3" spans="2:9" s="20" customFormat="1" ht="8.1" customHeight="1" x14ac:dyDescent="0.35">
      <c r="B3" s="195"/>
      <c r="C3" s="195"/>
      <c r="D3" s="195"/>
      <c r="E3" s="195"/>
      <c r="F3" s="195"/>
      <c r="G3" s="195"/>
      <c r="H3" s="195"/>
      <c r="I3" s="195"/>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34963</v>
      </c>
      <c r="D5" s="21">
        <f>SUMIF(' 2-3-6. Travel&amp;Costs of Stay'!B:B,B5,' 2-3-6. Travel&amp;Costs of Stay'!O:O)</f>
        <v>72300</v>
      </c>
      <c r="E5" s="22">
        <f>SUMIF(' 2-3-6. Travel&amp;Costs of Stay'!B:B,B5,' 2-3-6. Travel&amp;Costs of Stay'!P:P)</f>
        <v>174650</v>
      </c>
      <c r="F5" s="22">
        <f>SUMIF('4. Equipment Costs'!B:B,B5,'4. Equipment Costs'!H:H)</f>
        <v>270000</v>
      </c>
      <c r="G5" s="22">
        <f>SUMIF('5. Subcontracting Costs'!B:B,B5,'5. Subcontracting Costs'!H:H)</f>
        <v>18000</v>
      </c>
      <c r="H5" s="22">
        <f>SUMIF(' 2-3-6. Travel&amp;Costs of Stay'!B:B,B5,' 2-3-6. Travel&amp;Costs of Stay'!N:N)</f>
        <v>0</v>
      </c>
      <c r="I5" s="23">
        <f t="shared" ref="I5:I10" si="0">SUM(C5:H5)</f>
        <v>569913</v>
      </c>
    </row>
    <row r="6" spans="2:9" ht="16.5" customHeight="1" x14ac:dyDescent="0.35">
      <c r="B6" s="76" t="str">
        <f>'Unit Costs &amp; Funding Rule'!P11</f>
        <v>Development</v>
      </c>
      <c r="C6" s="21">
        <f>SUMIF('1. Staff costs'!B:B,B6,'1. Staff costs'!S:S)</f>
        <v>48004</v>
      </c>
      <c r="D6" s="21">
        <f>SUMIF(' 2-3-6. Travel&amp;Costs of Stay'!B:B,B6,' 2-3-6. Travel&amp;Costs of Stay'!O:O)</f>
        <v>23850</v>
      </c>
      <c r="E6" s="22">
        <f>SUMIF(' 2-3-6. Travel&amp;Costs of Stay'!B:B,B6,' 2-3-6. Travel&amp;Costs of Stay'!P:P)</f>
        <v>74450</v>
      </c>
      <c r="F6" s="22">
        <f>SUMIF('4. Equipment Costs'!B:B,B6,'4. Equipment Costs'!H:H)</f>
        <v>0</v>
      </c>
      <c r="G6" s="22">
        <f>SUMIF('5. Subcontracting Costs'!B:B,B6,'5. Subcontracting Costs'!H:H)</f>
        <v>0</v>
      </c>
      <c r="H6" s="22">
        <f>SUMIF(' 2-3-6. Travel&amp;Costs of Stay'!B:B,B6,' 2-3-6. Travel&amp;Costs of Stay'!N:N)</f>
        <v>0</v>
      </c>
      <c r="I6" s="23">
        <f t="shared" si="0"/>
        <v>146304</v>
      </c>
    </row>
    <row r="7" spans="2:9" ht="16.5" customHeight="1" x14ac:dyDescent="0.35">
      <c r="B7" s="76" t="str">
        <f>'Unit Costs &amp; Funding Rule'!P12</f>
        <v>Quality Plan</v>
      </c>
      <c r="C7" s="21">
        <f>SUMIF('1. Staff costs'!B:B,B7,'1. Staff costs'!S:S)</f>
        <v>59465</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59465</v>
      </c>
    </row>
    <row r="8" spans="2:9" ht="16.5" customHeight="1" x14ac:dyDescent="0.35">
      <c r="B8" s="76" t="str">
        <f>'Unit Costs &amp; Funding Rule'!P13</f>
        <v>Dissemination &amp; Exploitation</v>
      </c>
      <c r="C8" s="21">
        <f>SUMIF('1. Staff costs'!B:B,B8,'1. Staff costs'!S:S)</f>
        <v>8404</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25000</v>
      </c>
      <c r="H8" s="22">
        <f>SUMIF(' 2-3-6. Travel&amp;Costs of Stay'!B:B,B8,' 2-3-6. Travel&amp;Costs of Stay'!N:N)</f>
        <v>0</v>
      </c>
      <c r="I8" s="23">
        <f t="shared" si="0"/>
        <v>33404</v>
      </c>
    </row>
    <row r="9" spans="2:9" ht="16.5" customHeight="1" x14ac:dyDescent="0.35">
      <c r="B9" s="76" t="str">
        <f>'Unit Costs &amp; Funding Rule'!P14</f>
        <v>Management</v>
      </c>
      <c r="C9" s="21">
        <f>SUMIF('1. Staff costs'!B:B,B9,'1. Staff costs'!S:S)</f>
        <v>65827</v>
      </c>
      <c r="D9" s="21">
        <f>SUMIF(' 2-3-6. Travel&amp;Costs of Stay'!B:B,B9,' 2-3-6. Travel&amp;Costs of Stay'!O:O)</f>
        <v>9625</v>
      </c>
      <c r="E9" s="22">
        <f>SUMIF(' 2-3-6. Travel&amp;Costs of Stay'!B:B,B9,' 2-3-6. Travel&amp;Costs of Stay'!P:P)</f>
        <v>55400</v>
      </c>
      <c r="F9" s="22">
        <f>SUMIF('4. Equipment Costs'!B:B,B9,'4. Equipment Costs'!H:H)</f>
        <v>0</v>
      </c>
      <c r="G9" s="22">
        <f>SUMIF('5. Subcontracting Costs'!B:B,B9,'5. Subcontracting Costs'!H:H)</f>
        <v>20000</v>
      </c>
      <c r="H9" s="22">
        <f>SUMIF(' 2-3-6. Travel&amp;Costs of Stay'!B:B,B9,' 2-3-6. Travel&amp;Costs of Stay'!N:N)</f>
        <v>0</v>
      </c>
      <c r="I9" s="23">
        <f t="shared" si="0"/>
        <v>150852</v>
      </c>
    </row>
    <row r="10" spans="2:9" x14ac:dyDescent="0.35">
      <c r="B10" s="43" t="s">
        <v>1</v>
      </c>
      <c r="C10" s="23">
        <f t="shared" ref="C10:F10" si="1">SUM(C5:C9)</f>
        <v>216663</v>
      </c>
      <c r="D10" s="23">
        <f t="shared" si="1"/>
        <v>105775</v>
      </c>
      <c r="E10" s="23">
        <f t="shared" si="1"/>
        <v>304500</v>
      </c>
      <c r="F10" s="23">
        <f t="shared" si="1"/>
        <v>270000</v>
      </c>
      <c r="G10" s="23">
        <f>SUM(G5:G9)</f>
        <v>63000</v>
      </c>
      <c r="H10" s="23">
        <f>SUM(H5:H9)</f>
        <v>0</v>
      </c>
      <c r="I10" s="17">
        <f t="shared" si="0"/>
        <v>959938</v>
      </c>
    </row>
    <row r="11" spans="2:9" ht="20.100000000000001" customHeight="1" x14ac:dyDescent="0.35">
      <c r="B11" s="194"/>
      <c r="C11" s="194"/>
      <c r="D11" s="194"/>
      <c r="E11" s="194"/>
      <c r="F11" s="194"/>
      <c r="G11" s="194"/>
      <c r="H11" s="194"/>
      <c r="I11" s="194"/>
    </row>
    <row r="12" spans="2:9" ht="30" customHeight="1" x14ac:dyDescent="0.35">
      <c r="B12" s="120" t="s">
        <v>203</v>
      </c>
      <c r="C12" s="120"/>
      <c r="D12" s="120"/>
      <c r="E12" s="120"/>
      <c r="F12" s="120"/>
      <c r="G12" s="120"/>
      <c r="H12" s="120"/>
      <c r="I12" s="120"/>
    </row>
    <row r="13" spans="2:9" ht="8.1" customHeight="1" x14ac:dyDescent="0.35">
      <c r="B13" s="192"/>
      <c r="C13" s="192"/>
      <c r="D13" s="192"/>
      <c r="E13" s="192"/>
      <c r="F13" s="192"/>
      <c r="G13" s="192"/>
      <c r="H13" s="192"/>
      <c r="I13" s="192"/>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169157</v>
      </c>
      <c r="D15" s="21">
        <f>SUMIF(Overview!$E$27:$E$81,B15,Overview!$G$27:$G$81)</f>
        <v>69325</v>
      </c>
      <c r="E15" s="21">
        <f>SUMIF(Overview!$E$27:$E$81,B15,Overview!$H$27:$H$81)</f>
        <v>176500</v>
      </c>
      <c r="F15" s="21">
        <f>SUMIF(Overview!$E$27:$E$81,B15,Overview!$I$27:$I$81)</f>
        <v>0</v>
      </c>
      <c r="G15" s="21">
        <f>SUMIF(Overview!$E$27:$E$81,B15,Overview!$J$27:$J$81)</f>
        <v>50000</v>
      </c>
      <c r="H15" s="21">
        <f>SUMIF(Overview!$E$27:$E$81,B15,Overview!$K$27:$K$81)</f>
        <v>0</v>
      </c>
      <c r="I15" s="23">
        <f>SUM(C15:H15)</f>
        <v>464982</v>
      </c>
    </row>
    <row r="16" spans="2:9" x14ac:dyDescent="0.35">
      <c r="B16" s="76" t="s">
        <v>197</v>
      </c>
      <c r="C16" s="21">
        <f>SUMIF(Overview!$E$27:$E$81,B16,Overview!$F$27:$F$81)</f>
        <v>47506</v>
      </c>
      <c r="D16" s="21">
        <f>SUMIF(Overview!$E$27:$E$81,B16,Overview!$G$27:$G$81)</f>
        <v>36450</v>
      </c>
      <c r="E16" s="21">
        <f>SUMIF(Overview!$E$27:$E$81,B16,Overview!$H$27:$H$81)</f>
        <v>128000</v>
      </c>
      <c r="F16" s="21">
        <f>SUMIF(Overview!$E$27:$E$81,B16,Overview!$I$27:$I$81)</f>
        <v>270000</v>
      </c>
      <c r="G16" s="21">
        <f>SUMIF(Overview!$E$27:$E$81,B16,Overview!$J$27:$J$81)</f>
        <v>13000</v>
      </c>
      <c r="H16" s="21">
        <f>SUMIF(Overview!$E$27:$E$81,B16,Overview!$K$27:$K$81)</f>
        <v>0</v>
      </c>
      <c r="I16" s="23">
        <f>SUM(C16:H16)</f>
        <v>494956</v>
      </c>
    </row>
    <row r="17" spans="2:9" x14ac:dyDescent="0.35">
      <c r="B17" s="43" t="s">
        <v>1</v>
      </c>
      <c r="C17" s="23">
        <f t="shared" ref="C17:F17" si="2">SUM(C15:C16)</f>
        <v>216663</v>
      </c>
      <c r="D17" s="23">
        <f t="shared" si="2"/>
        <v>105775</v>
      </c>
      <c r="E17" s="23">
        <f t="shared" si="2"/>
        <v>304500</v>
      </c>
      <c r="F17" s="23">
        <f t="shared" si="2"/>
        <v>270000</v>
      </c>
      <c r="G17" s="23">
        <f>SUM(G15:G16)</f>
        <v>63000</v>
      </c>
      <c r="H17" s="23">
        <f>SUM(H15:H16)</f>
        <v>0</v>
      </c>
      <c r="I17" s="17">
        <f>SUM(C17:H17)</f>
        <v>959938</v>
      </c>
    </row>
    <row r="18" spans="2:9" ht="20.100000000000001" customHeight="1" x14ac:dyDescent="0.35">
      <c r="B18" s="193"/>
      <c r="C18" s="193"/>
      <c r="D18" s="193"/>
      <c r="E18" s="193"/>
      <c r="F18" s="193"/>
      <c r="G18" s="193"/>
      <c r="H18" s="193"/>
      <c r="I18" s="193"/>
    </row>
    <row r="19" spans="2:9" ht="30" customHeight="1" x14ac:dyDescent="0.35">
      <c r="B19" s="120" t="s">
        <v>205</v>
      </c>
      <c r="C19" s="120"/>
      <c r="D19" s="120"/>
      <c r="E19" s="120"/>
      <c r="F19" s="120"/>
      <c r="G19" s="120"/>
      <c r="H19" s="120"/>
      <c r="I19" s="120"/>
    </row>
    <row r="20" spans="2:9" ht="8.1" customHeight="1" x14ac:dyDescent="0.35">
      <c r="B20" s="192"/>
      <c r="C20" s="192"/>
      <c r="D20" s="192"/>
      <c r="E20" s="192"/>
      <c r="F20" s="192"/>
      <c r="G20" s="192"/>
      <c r="H20" s="192"/>
      <c r="I20" s="192"/>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164</v>
      </c>
      <c r="I21" s="197"/>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4913</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6427</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15579</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100664</v>
      </c>
      <c r="H22" s="198">
        <f t="shared" ref="H22:H34" si="3">SUM(C22:G22)</f>
        <v>127583</v>
      </c>
      <c r="I22" s="199"/>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130846</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17225</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18954</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24871</v>
      </c>
      <c r="H23" s="198">
        <f t="shared" si="3"/>
        <v>191896</v>
      </c>
      <c r="I23" s="199"/>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103261</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108040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4144</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13000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7665</v>
      </c>
      <c r="H24" s="198">
        <f t="shared" si="3"/>
        <v>236110</v>
      </c>
      <c r="I24" s="199"/>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91097</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10141</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12885</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20404</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10976</v>
      </c>
      <c r="H25" s="198">
        <f t="shared" si="3"/>
        <v>145503</v>
      </c>
      <c r="I25" s="199"/>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239796</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4471</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7903</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6676</v>
      </c>
      <c r="H26" s="198">
        <f t="shared" si="3"/>
        <v>258846</v>
      </c>
      <c r="I26" s="199"/>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8">
        <f t="shared" si="3"/>
        <v>0</v>
      </c>
      <c r="I27" s="199"/>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198">
        <f t="shared" si="3"/>
        <v>0</v>
      </c>
      <c r="I28" s="199"/>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8">
        <f t="shared" si="3"/>
        <v>0</v>
      </c>
      <c r="I29" s="199"/>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8">
        <f t="shared" si="3"/>
        <v>0</v>
      </c>
      <c r="I30" s="199"/>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8">
        <f t="shared" si="3"/>
        <v>0</v>
      </c>
      <c r="I31" s="199"/>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8">
        <f t="shared" si="3"/>
        <v>0</v>
      </c>
      <c r="I32" s="199"/>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8">
        <f t="shared" si="3"/>
        <v>0</v>
      </c>
      <c r="I33" s="199"/>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8">
        <f t="shared" si="3"/>
        <v>0</v>
      </c>
      <c r="I34" s="199"/>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8">
        <f t="shared" ref="H35:H76" si="4">SUM(C35:G35)</f>
        <v>0</v>
      </c>
      <c r="I35" s="199"/>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8">
        <f t="shared" si="4"/>
        <v>0</v>
      </c>
      <c r="I36" s="199"/>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x14ac:dyDescent="0.35">
      <c r="B77" s="48" t="s">
        <v>1</v>
      </c>
      <c r="C77" s="23">
        <f>SUM(C22:C76)</f>
        <v>569913</v>
      </c>
      <c r="D77" s="23">
        <f t="shared" ref="D77:G77" si="5">SUM(D22:D76)</f>
        <v>146304</v>
      </c>
      <c r="E77" s="23">
        <f t="shared" si="5"/>
        <v>59465</v>
      </c>
      <c r="F77" s="23">
        <f t="shared" si="5"/>
        <v>33404</v>
      </c>
      <c r="G77" s="23">
        <f t="shared" si="5"/>
        <v>150852</v>
      </c>
      <c r="H77" s="198">
        <f>SUM(C77:G77)</f>
        <v>959938</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9" t="s">
        <v>359</v>
      </c>
      <c r="C1" s="210"/>
      <c r="D1" s="210"/>
      <c r="E1" s="210"/>
      <c r="F1" s="210"/>
      <c r="G1" s="210"/>
      <c r="H1" s="210"/>
      <c r="I1" s="210"/>
      <c r="J1" s="210"/>
      <c r="K1" s="210"/>
      <c r="L1" s="210"/>
      <c r="M1" s="210"/>
      <c r="N1" s="210"/>
      <c r="O1" s="210"/>
      <c r="P1" s="210"/>
      <c r="Q1" s="210"/>
      <c r="R1" s="210"/>
      <c r="S1" s="210"/>
      <c r="T1" s="210"/>
      <c r="U1" s="210"/>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11" t="s">
        <v>225</v>
      </c>
      <c r="C4" s="211"/>
      <c r="D4" s="211"/>
      <c r="E4" s="211"/>
      <c r="F4" s="211"/>
      <c r="G4" s="211"/>
      <c r="I4" s="211" t="s">
        <v>226</v>
      </c>
      <c r="J4" s="211"/>
      <c r="L4" s="211" t="s">
        <v>227</v>
      </c>
      <c r="M4" s="211"/>
      <c r="N4" s="211"/>
      <c r="P4" s="211" t="s">
        <v>228</v>
      </c>
      <c r="Q4" s="211"/>
      <c r="S4" s="211" t="s">
        <v>229</v>
      </c>
      <c r="T4" s="211"/>
      <c r="U4" s="211"/>
    </row>
    <row r="5" spans="2:21" s="58" customFormat="1" ht="157.5" customHeight="1" x14ac:dyDescent="0.3">
      <c r="B5" s="203" t="s">
        <v>334</v>
      </c>
      <c r="C5" s="204"/>
      <c r="D5" s="204"/>
      <c r="E5" s="204"/>
      <c r="F5" s="204"/>
      <c r="G5" s="205"/>
      <c r="I5" s="203" t="s">
        <v>315</v>
      </c>
      <c r="J5" s="205"/>
      <c r="L5" s="203" t="s">
        <v>335</v>
      </c>
      <c r="M5" s="204"/>
      <c r="N5" s="205"/>
      <c r="P5" s="203" t="s">
        <v>312</v>
      </c>
      <c r="Q5" s="205"/>
      <c r="S5" s="203" t="s">
        <v>316</v>
      </c>
      <c r="T5" s="204"/>
      <c r="U5" s="205"/>
    </row>
    <row r="6" spans="2:21" s="59" customFormat="1" ht="80.25" customHeight="1" x14ac:dyDescent="0.3">
      <c r="B6" s="206"/>
      <c r="C6" s="207"/>
      <c r="D6" s="207"/>
      <c r="E6" s="207"/>
      <c r="F6" s="207"/>
      <c r="G6" s="208"/>
      <c r="I6" s="206"/>
      <c r="J6" s="208"/>
      <c r="L6" s="206"/>
      <c r="M6" s="207"/>
      <c r="N6" s="208"/>
      <c r="P6" s="206"/>
      <c r="Q6" s="208"/>
      <c r="S6" s="206"/>
      <c r="T6" s="207"/>
      <c r="U6" s="208"/>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00" t="s">
        <v>328</v>
      </c>
      <c r="Q7" s="201"/>
      <c r="S7" s="200" t="s">
        <v>329</v>
      </c>
      <c r="T7" s="202"/>
      <c r="U7" s="201"/>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2023-06-20T10:20:41Z</dcterms:modified>
</cp:coreProperties>
</file>